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wrei\Dropbox\review articles\royal societ specieal issue\Tables\"/>
    </mc:Choice>
  </mc:AlternateContent>
  <xr:revisionPtr revIDLastSave="0" documentId="13_ncr:1_{77C304F2-4455-4125-9E77-C3B3DCA0B7F3}" xr6:coauthVersionLast="47" xr6:coauthVersionMax="47" xr10:uidLastSave="{00000000-0000-0000-0000-000000000000}"/>
  <bookViews>
    <workbookView xWindow="-110" yWindow="-110" windowWidth="25820" windowHeight="15500" activeTab="3" xr2:uid="{00000000-000D-0000-FFFF-FFFF00000000}"/>
  </bookViews>
  <sheets>
    <sheet name="Master_Bibliography" sheetId="1" r:id="rId1"/>
    <sheet name="Categories of RNAi targets" sheetId="5" r:id="rId2"/>
    <sheet name="Quant_Timepoint_Data" sheetId="4" r:id="rId3"/>
    <sheet name="Author data comparison" sheetId="6" r:id="rId4"/>
  </sheets>
  <externalReferences>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6" l="1"/>
  <c r="K5" i="6"/>
  <c r="L5" i="6"/>
  <c r="M5" i="6"/>
  <c r="N5" i="6"/>
  <c r="O5" i="6"/>
  <c r="J6" i="6"/>
  <c r="K6" i="6"/>
  <c r="L6" i="6"/>
  <c r="M6" i="6"/>
  <c r="N6" i="6"/>
  <c r="O6" i="6"/>
  <c r="J7" i="6"/>
  <c r="K7" i="6"/>
  <c r="L7" i="6"/>
  <c r="M7" i="6"/>
  <c r="N7" i="6"/>
  <c r="O7" i="6"/>
  <c r="J8" i="6"/>
  <c r="K8" i="6"/>
  <c r="L8" i="6"/>
  <c r="M8" i="6"/>
  <c r="N8" i="6"/>
  <c r="O8" i="6"/>
  <c r="J9" i="6"/>
  <c r="K9" i="6"/>
  <c r="L9" i="6"/>
  <c r="M9" i="6"/>
  <c r="N9" i="6"/>
  <c r="O9" i="6"/>
  <c r="J10" i="6"/>
  <c r="K10" i="6"/>
  <c r="L10" i="6" s="1"/>
  <c r="M10" i="6"/>
  <c r="N10" i="6"/>
  <c r="O10" i="6"/>
  <c r="J11" i="6"/>
  <c r="K11" i="6"/>
  <c r="L11" i="6" s="1"/>
  <c r="M11" i="6"/>
  <c r="N11" i="6"/>
  <c r="O11" i="6"/>
  <c r="J12" i="6"/>
  <c r="K12" i="6"/>
  <c r="L12" i="6"/>
  <c r="M12" i="6"/>
  <c r="N12" i="6"/>
  <c r="O12" i="6"/>
  <c r="J13" i="6"/>
  <c r="K13" i="6"/>
  <c r="L13" i="6"/>
  <c r="M13" i="6"/>
  <c r="N13" i="6"/>
  <c r="O13" i="6"/>
  <c r="J14" i="6"/>
  <c r="K14" i="6"/>
  <c r="L14" i="6"/>
  <c r="O14" i="6"/>
  <c r="J15" i="6"/>
  <c r="K15" i="6"/>
  <c r="L15" i="6"/>
  <c r="M15" i="6"/>
  <c r="N15" i="6"/>
  <c r="O15" i="6"/>
  <c r="O358" i="4"/>
  <c r="P358" i="4" s="1"/>
  <c r="H358" i="4"/>
  <c r="O357" i="4"/>
  <c r="P357" i="4" s="1"/>
  <c r="H357" i="4"/>
  <c r="O356" i="4"/>
  <c r="P356" i="4" s="1"/>
  <c r="H356" i="4"/>
  <c r="O355" i="4"/>
  <c r="P355" i="4" s="1"/>
  <c r="H355" i="4"/>
  <c r="O354" i="4"/>
  <c r="P354" i="4" s="1"/>
  <c r="H354" i="4"/>
  <c r="O353" i="4"/>
  <c r="P353" i="4" s="1"/>
  <c r="H353" i="4"/>
  <c r="P352" i="4"/>
  <c r="O352" i="4"/>
  <c r="H352" i="4"/>
  <c r="P351" i="4"/>
  <c r="O351" i="4"/>
  <c r="H351" i="4"/>
  <c r="P350" i="4"/>
  <c r="O350" i="4"/>
  <c r="H350" i="4"/>
  <c r="O349" i="4"/>
  <c r="P349" i="4" s="1"/>
  <c r="H349" i="4"/>
  <c r="O348" i="4"/>
  <c r="P348" i="4" s="1"/>
  <c r="H348" i="4"/>
  <c r="O347" i="4"/>
  <c r="P347" i="4" s="1"/>
  <c r="H347" i="4"/>
  <c r="O346" i="4"/>
  <c r="P346" i="4" s="1"/>
  <c r="H346" i="4"/>
  <c r="O345" i="4"/>
  <c r="P345" i="4" s="1"/>
  <c r="H345" i="4"/>
  <c r="O344" i="4"/>
  <c r="P344" i="4" s="1"/>
  <c r="H344" i="4"/>
  <c r="P343" i="4"/>
  <c r="O343" i="4"/>
  <c r="H343" i="4"/>
  <c r="O342" i="4"/>
  <c r="P342" i="4" s="1"/>
  <c r="H342" i="4"/>
  <c r="P341" i="4"/>
  <c r="O341" i="4"/>
  <c r="H341" i="4"/>
  <c r="P340" i="4"/>
  <c r="O340" i="4"/>
  <c r="H340" i="4"/>
  <c r="O339" i="4"/>
  <c r="P339" i="4" s="1"/>
  <c r="H339" i="4"/>
  <c r="P338" i="4"/>
  <c r="O338" i="4"/>
  <c r="H338" i="4"/>
  <c r="O337" i="4"/>
  <c r="P337" i="4" s="1"/>
  <c r="H337" i="4"/>
  <c r="O336" i="4"/>
  <c r="P336" i="4" s="1"/>
  <c r="H336" i="4"/>
  <c r="O335" i="4"/>
  <c r="P335" i="4" s="1"/>
  <c r="H335" i="4"/>
  <c r="O334" i="4"/>
  <c r="P334" i="4" s="1"/>
  <c r="H334" i="4"/>
  <c r="O333" i="4"/>
  <c r="P333" i="4" s="1"/>
  <c r="H333" i="4"/>
  <c r="O332" i="4"/>
  <c r="P332" i="4" s="1"/>
  <c r="H332" i="4"/>
  <c r="P331" i="4"/>
  <c r="O331" i="4"/>
  <c r="H331" i="4"/>
  <c r="O330" i="4"/>
  <c r="P330" i="4" s="1"/>
  <c r="H330" i="4"/>
  <c r="P329" i="4"/>
  <c r="O329" i="4"/>
  <c r="H329" i="4"/>
  <c r="O328" i="4"/>
  <c r="P328" i="4" s="1"/>
  <c r="H328" i="4"/>
  <c r="O327" i="4"/>
  <c r="P327" i="4" s="1"/>
  <c r="H327" i="4"/>
  <c r="O326" i="4"/>
  <c r="P326" i="4" s="1"/>
  <c r="H326" i="4"/>
  <c r="O325" i="4"/>
  <c r="P325" i="4" s="1"/>
  <c r="H325" i="4"/>
  <c r="O324" i="4"/>
  <c r="P324" i="4" s="1"/>
  <c r="H324" i="4"/>
  <c r="O323" i="4"/>
  <c r="P323" i="4" s="1"/>
  <c r="H323" i="4"/>
  <c r="H322" i="4"/>
  <c r="O321" i="4"/>
  <c r="P321" i="4" s="1"/>
  <c r="H321" i="4"/>
  <c r="O320" i="4"/>
  <c r="P320" i="4" s="1"/>
  <c r="H320" i="4"/>
  <c r="O319" i="4"/>
  <c r="P319" i="4" s="1"/>
  <c r="H319" i="4"/>
  <c r="P318" i="4"/>
  <c r="O318" i="4"/>
  <c r="H318" i="4"/>
  <c r="O317" i="4"/>
  <c r="P317" i="4" s="1"/>
  <c r="H317" i="4"/>
  <c r="O316" i="4"/>
  <c r="P316" i="4" s="1"/>
  <c r="H316" i="4"/>
  <c r="O315" i="4"/>
  <c r="P315" i="4" s="1"/>
  <c r="H315" i="4"/>
  <c r="P314" i="4"/>
  <c r="O314" i="4"/>
  <c r="H314" i="4"/>
  <c r="O313" i="4"/>
  <c r="P313" i="4" s="1"/>
  <c r="H313" i="4"/>
  <c r="O312" i="4"/>
  <c r="P312" i="4" s="1"/>
  <c r="H312" i="4"/>
  <c r="O311" i="4"/>
  <c r="P311" i="4" s="1"/>
  <c r="H311" i="4"/>
  <c r="O310" i="4"/>
  <c r="P310" i="4" s="1"/>
  <c r="H310" i="4"/>
  <c r="P309" i="4"/>
  <c r="O309" i="4"/>
  <c r="H309" i="4"/>
  <c r="O308" i="4"/>
  <c r="P308" i="4" s="1"/>
  <c r="H308" i="4"/>
  <c r="P307" i="4"/>
  <c r="O307" i="4"/>
  <c r="H307" i="4"/>
  <c r="P306" i="4"/>
  <c r="O306" i="4"/>
  <c r="H306" i="4"/>
  <c r="O305" i="4"/>
  <c r="P305" i="4" s="1"/>
  <c r="H305" i="4"/>
  <c r="O304" i="4"/>
  <c r="P304" i="4" s="1"/>
  <c r="H304" i="4"/>
  <c r="O303" i="4"/>
  <c r="P303" i="4" s="1"/>
  <c r="H303" i="4"/>
  <c r="O302" i="4"/>
  <c r="P302" i="4" s="1"/>
  <c r="H302" i="4"/>
  <c r="O301" i="4"/>
  <c r="P301" i="4" s="1"/>
  <c r="H301" i="4"/>
  <c r="O300" i="4"/>
  <c r="P300" i="4" s="1"/>
  <c r="H300" i="4"/>
  <c r="O299" i="4"/>
  <c r="P299" i="4" s="1"/>
  <c r="H299" i="4"/>
  <c r="P298" i="4"/>
  <c r="O298" i="4"/>
  <c r="H298" i="4"/>
  <c r="P297" i="4"/>
  <c r="O297" i="4"/>
  <c r="H297" i="4"/>
  <c r="O296" i="4"/>
  <c r="P296" i="4" s="1"/>
  <c r="H296" i="4"/>
  <c r="O295" i="4"/>
  <c r="P295" i="4" s="1"/>
  <c r="H295" i="4"/>
  <c r="O294" i="4"/>
  <c r="P294" i="4" s="1"/>
  <c r="H294" i="4"/>
  <c r="O293" i="4"/>
  <c r="P293" i="4" s="1"/>
  <c r="H293" i="4"/>
  <c r="O292" i="4"/>
  <c r="P292" i="4" s="1"/>
  <c r="H292" i="4"/>
  <c r="O291" i="4"/>
  <c r="P291" i="4" s="1"/>
  <c r="H291" i="4"/>
  <c r="O290" i="4"/>
  <c r="P290" i="4" s="1"/>
  <c r="H290" i="4"/>
  <c r="O289" i="4"/>
  <c r="P289" i="4" s="1"/>
  <c r="H289" i="4"/>
  <c r="O288" i="4"/>
  <c r="P288" i="4" s="1"/>
  <c r="H288" i="4"/>
  <c r="O287" i="4"/>
  <c r="P287" i="4" s="1"/>
  <c r="H287" i="4"/>
  <c r="P286" i="4"/>
  <c r="O286" i="4"/>
  <c r="H286" i="4"/>
  <c r="O285" i="4"/>
  <c r="P285" i="4" s="1"/>
  <c r="H285" i="4"/>
  <c r="O284" i="4"/>
  <c r="P284" i="4" s="1"/>
  <c r="H284" i="4"/>
  <c r="O283" i="4"/>
  <c r="P283" i="4" s="1"/>
  <c r="H283" i="4"/>
  <c r="P282" i="4"/>
  <c r="O282" i="4"/>
  <c r="H282" i="4"/>
  <c r="O281" i="4"/>
  <c r="P281" i="4" s="1"/>
  <c r="H281" i="4"/>
  <c r="O280" i="4"/>
  <c r="P280" i="4" s="1"/>
  <c r="H280" i="4"/>
  <c r="O279" i="4"/>
  <c r="P279" i="4" s="1"/>
  <c r="H279" i="4"/>
  <c r="O278" i="4"/>
  <c r="P278" i="4" s="1"/>
  <c r="H278" i="4"/>
  <c r="P277" i="4"/>
  <c r="O277" i="4"/>
  <c r="H277" i="4"/>
  <c r="O276" i="4"/>
  <c r="P276" i="4" s="1"/>
  <c r="H276" i="4"/>
  <c r="O275" i="4"/>
  <c r="P275" i="4" s="1"/>
  <c r="H275" i="4"/>
  <c r="P274" i="4"/>
  <c r="O274" i="4"/>
  <c r="H274" i="4"/>
  <c r="O273" i="4"/>
  <c r="P273" i="4" s="1"/>
  <c r="H273" i="4"/>
  <c r="O272" i="4"/>
  <c r="P272" i="4" s="1"/>
  <c r="H272" i="4"/>
  <c r="O271" i="4"/>
  <c r="P271" i="4" s="1"/>
  <c r="H271" i="4"/>
  <c r="O270" i="4"/>
  <c r="P270" i="4" s="1"/>
  <c r="H270" i="4"/>
  <c r="O269" i="4"/>
  <c r="P269" i="4" s="1"/>
  <c r="H269" i="4"/>
  <c r="O268" i="4"/>
  <c r="P268" i="4" s="1"/>
  <c r="H268" i="4"/>
  <c r="O267" i="4"/>
  <c r="P267" i="4" s="1"/>
  <c r="H267" i="4"/>
  <c r="P266" i="4"/>
  <c r="O266" i="4"/>
  <c r="H266" i="4"/>
  <c r="P265" i="4"/>
  <c r="O265" i="4"/>
  <c r="H265" i="4"/>
  <c r="O264" i="4"/>
  <c r="P264" i="4" s="1"/>
  <c r="H264" i="4"/>
  <c r="O263" i="4"/>
  <c r="P263" i="4" s="1"/>
  <c r="H263" i="4"/>
  <c r="O262" i="4"/>
  <c r="P262" i="4" s="1"/>
  <c r="H262" i="4"/>
  <c r="O261" i="4"/>
  <c r="P261" i="4" s="1"/>
  <c r="H261" i="4"/>
  <c r="O260" i="4"/>
  <c r="P260" i="4" s="1"/>
  <c r="H260" i="4"/>
  <c r="O259" i="4"/>
  <c r="P259" i="4" s="1"/>
  <c r="H259" i="4"/>
  <c r="O258" i="4"/>
  <c r="P258" i="4" s="1"/>
  <c r="H258" i="4"/>
  <c r="O257" i="4"/>
  <c r="P257" i="4" s="1"/>
  <c r="H257" i="4"/>
  <c r="O256" i="4"/>
  <c r="P256" i="4" s="1"/>
  <c r="H256" i="4"/>
  <c r="O255" i="4"/>
  <c r="P255" i="4" s="1"/>
  <c r="H255" i="4"/>
  <c r="O254" i="4"/>
  <c r="P254" i="4" s="1"/>
  <c r="H254" i="4"/>
  <c r="O253" i="4"/>
  <c r="P253" i="4" s="1"/>
  <c r="H253" i="4"/>
  <c r="O252" i="4"/>
  <c r="P252" i="4" s="1"/>
  <c r="H252" i="4"/>
  <c r="O251" i="4"/>
  <c r="P251" i="4" s="1"/>
  <c r="H251" i="4"/>
  <c r="P250" i="4"/>
  <c r="O250" i="4"/>
  <c r="H250" i="4"/>
  <c r="O249" i="4"/>
  <c r="P249" i="4" s="1"/>
  <c r="H249" i="4"/>
  <c r="O248" i="4"/>
  <c r="P248" i="4" s="1"/>
  <c r="H248" i="4"/>
  <c r="O247" i="4"/>
  <c r="P247" i="4" s="1"/>
  <c r="H247" i="4"/>
  <c r="O246" i="4"/>
  <c r="P246" i="4" s="1"/>
  <c r="H246" i="4"/>
  <c r="P245" i="4"/>
  <c r="O245" i="4"/>
  <c r="H245" i="4"/>
  <c r="O244" i="4"/>
  <c r="P244" i="4" s="1"/>
  <c r="H244" i="4"/>
  <c r="O243" i="4"/>
  <c r="P243" i="4" s="1"/>
  <c r="H243" i="4"/>
  <c r="P242" i="4"/>
  <c r="O242" i="4"/>
  <c r="H242" i="4"/>
  <c r="O241" i="4"/>
  <c r="P241" i="4" s="1"/>
  <c r="H241" i="4"/>
  <c r="O240" i="4"/>
  <c r="P240" i="4" s="1"/>
  <c r="H240" i="4"/>
  <c r="O239" i="4"/>
  <c r="P239" i="4" s="1"/>
  <c r="H239" i="4"/>
  <c r="O238" i="4"/>
  <c r="P238" i="4" s="1"/>
  <c r="H238" i="4"/>
  <c r="O237" i="4"/>
  <c r="P237" i="4" s="1"/>
  <c r="H237" i="4"/>
  <c r="O236" i="4"/>
  <c r="P236" i="4" s="1"/>
  <c r="H236" i="4"/>
  <c r="O235" i="4"/>
  <c r="P235" i="4" s="1"/>
  <c r="H235" i="4"/>
  <c r="P234" i="4"/>
  <c r="O234" i="4"/>
  <c r="H234" i="4"/>
  <c r="O233" i="4"/>
  <c r="P233" i="4" s="1"/>
  <c r="H233" i="4"/>
  <c r="O232" i="4"/>
  <c r="P232" i="4" s="1"/>
  <c r="H232" i="4"/>
  <c r="O231" i="4"/>
  <c r="P231" i="4" s="1"/>
  <c r="H231" i="4"/>
  <c r="O230" i="4"/>
  <c r="P230" i="4" s="1"/>
  <c r="H230" i="4"/>
  <c r="O229" i="4"/>
  <c r="P229" i="4" s="1"/>
  <c r="H229" i="4"/>
  <c r="O228" i="4"/>
  <c r="P228" i="4" s="1"/>
  <c r="H228" i="4"/>
  <c r="O227" i="4"/>
  <c r="P227" i="4" s="1"/>
  <c r="H227" i="4"/>
  <c r="O226" i="4"/>
  <c r="P226" i="4" s="1"/>
  <c r="H226" i="4"/>
  <c r="O225" i="4"/>
  <c r="P225" i="4" s="1"/>
  <c r="H225" i="4"/>
  <c r="O224" i="4"/>
  <c r="P224" i="4" s="1"/>
  <c r="H224" i="4"/>
  <c r="O223" i="4"/>
  <c r="P223" i="4" s="1"/>
  <c r="H223" i="4"/>
  <c r="O222" i="4"/>
  <c r="P222" i="4" s="1"/>
  <c r="H222" i="4"/>
  <c r="O221" i="4"/>
  <c r="P221" i="4" s="1"/>
  <c r="H221" i="4"/>
  <c r="O220" i="4"/>
  <c r="P220" i="4" s="1"/>
  <c r="H220" i="4"/>
  <c r="O219" i="4"/>
  <c r="P219" i="4" s="1"/>
  <c r="H219" i="4"/>
  <c r="P218" i="4"/>
  <c r="O218" i="4"/>
  <c r="H218" i="4"/>
  <c r="O217" i="4"/>
  <c r="P217" i="4" s="1"/>
  <c r="H217" i="4"/>
  <c r="O216" i="4"/>
  <c r="P216" i="4" s="1"/>
  <c r="H216" i="4"/>
  <c r="O215" i="4"/>
  <c r="P215" i="4" s="1"/>
  <c r="H215" i="4"/>
  <c r="O214" i="4"/>
  <c r="P214" i="4" s="1"/>
  <c r="H214" i="4"/>
  <c r="P213" i="4"/>
  <c r="O213" i="4"/>
  <c r="H213" i="4"/>
  <c r="O212" i="4"/>
  <c r="P212" i="4" s="1"/>
  <c r="H212" i="4"/>
  <c r="O211" i="4"/>
  <c r="P211" i="4" s="1"/>
  <c r="H211" i="4"/>
  <c r="P210" i="4"/>
  <c r="O210" i="4"/>
  <c r="H210" i="4"/>
  <c r="O209" i="4"/>
  <c r="P209" i="4" s="1"/>
  <c r="H209" i="4"/>
  <c r="O208" i="4"/>
  <c r="P208" i="4" s="1"/>
  <c r="H208" i="4"/>
  <c r="O207" i="4"/>
  <c r="P207" i="4" s="1"/>
  <c r="H207" i="4"/>
  <c r="O206" i="4"/>
  <c r="P206" i="4" s="1"/>
  <c r="H206" i="4"/>
  <c r="O205" i="4"/>
  <c r="P205" i="4" s="1"/>
  <c r="H205" i="4"/>
  <c r="O204" i="4"/>
  <c r="P204" i="4" s="1"/>
  <c r="H204" i="4"/>
  <c r="O203" i="4"/>
  <c r="P203" i="4" s="1"/>
  <c r="H203" i="4"/>
  <c r="P202" i="4"/>
  <c r="O202" i="4"/>
  <c r="H202" i="4"/>
  <c r="O201" i="4"/>
  <c r="P201" i="4" s="1"/>
  <c r="H201" i="4"/>
  <c r="O200" i="4"/>
  <c r="P200" i="4" s="1"/>
  <c r="H200" i="4"/>
  <c r="O199" i="4"/>
  <c r="P199" i="4" s="1"/>
  <c r="H199" i="4"/>
  <c r="O198" i="4"/>
  <c r="P198" i="4" s="1"/>
  <c r="H198" i="4"/>
  <c r="O197" i="4"/>
  <c r="P197" i="4" s="1"/>
  <c r="H197" i="4"/>
  <c r="O196" i="4"/>
  <c r="P196" i="4" s="1"/>
  <c r="H196" i="4"/>
  <c r="O195" i="4"/>
  <c r="P195" i="4" s="1"/>
  <c r="H195" i="4"/>
  <c r="O194" i="4"/>
  <c r="P194" i="4" s="1"/>
  <c r="H194" i="4"/>
  <c r="O193" i="4"/>
  <c r="P193" i="4" s="1"/>
  <c r="H193" i="4"/>
  <c r="O192" i="4"/>
  <c r="P192" i="4" s="1"/>
  <c r="H192" i="4"/>
  <c r="O191" i="4"/>
  <c r="P191" i="4" s="1"/>
  <c r="H191" i="4"/>
  <c r="O190" i="4"/>
  <c r="P190" i="4" s="1"/>
  <c r="H190" i="4"/>
  <c r="O189" i="4"/>
  <c r="P189" i="4" s="1"/>
  <c r="H189" i="4"/>
  <c r="O188" i="4"/>
  <c r="P188" i="4" s="1"/>
  <c r="H188" i="4"/>
  <c r="O187" i="4"/>
  <c r="P187" i="4" s="1"/>
  <c r="H187" i="4"/>
  <c r="P186" i="4"/>
  <c r="O186" i="4"/>
  <c r="H186" i="4"/>
  <c r="O185" i="4"/>
  <c r="P185" i="4" s="1"/>
  <c r="H185" i="4"/>
  <c r="O184" i="4"/>
  <c r="P184" i="4" s="1"/>
  <c r="H184" i="4"/>
  <c r="O183" i="4"/>
  <c r="P183" i="4" s="1"/>
  <c r="H183" i="4"/>
  <c r="O182" i="4"/>
  <c r="P182" i="4" s="1"/>
  <c r="H182" i="4"/>
  <c r="P181" i="4"/>
  <c r="O181" i="4"/>
  <c r="H181" i="4"/>
  <c r="O180" i="4"/>
  <c r="P180" i="4" s="1"/>
  <c r="H180" i="4"/>
  <c r="O179" i="4"/>
  <c r="P179" i="4" s="1"/>
  <c r="H179" i="4"/>
  <c r="P178" i="4"/>
  <c r="O178" i="4"/>
  <c r="H178" i="4"/>
  <c r="O177" i="4"/>
  <c r="P177" i="4" s="1"/>
  <c r="H177" i="4"/>
  <c r="O176" i="4"/>
  <c r="P176" i="4" s="1"/>
  <c r="H176" i="4"/>
  <c r="O175" i="4"/>
  <c r="P175" i="4" s="1"/>
  <c r="H175" i="4"/>
  <c r="O174" i="4"/>
  <c r="P174" i="4" s="1"/>
  <c r="H174" i="4"/>
  <c r="O173" i="4"/>
  <c r="P173" i="4" s="1"/>
  <c r="H173" i="4"/>
  <c r="O172" i="4"/>
  <c r="P172" i="4" s="1"/>
  <c r="H172" i="4"/>
  <c r="O171" i="4"/>
  <c r="P171" i="4" s="1"/>
  <c r="H171" i="4"/>
  <c r="P170" i="4"/>
  <c r="O170" i="4"/>
  <c r="H170" i="4"/>
  <c r="O169" i="4"/>
  <c r="P169" i="4" s="1"/>
  <c r="H169" i="4"/>
  <c r="O168" i="4"/>
  <c r="P168" i="4" s="1"/>
  <c r="H168" i="4"/>
  <c r="O167" i="4"/>
  <c r="P167" i="4" s="1"/>
  <c r="H167" i="4"/>
  <c r="O166" i="4"/>
  <c r="P166" i="4" s="1"/>
  <c r="H166" i="4"/>
  <c r="O165" i="4"/>
  <c r="P165" i="4" s="1"/>
  <c r="H165" i="4"/>
  <c r="O164" i="4"/>
  <c r="P164" i="4" s="1"/>
  <c r="H164" i="4"/>
  <c r="O163" i="4"/>
  <c r="P163" i="4" s="1"/>
  <c r="H163" i="4"/>
  <c r="O162" i="4"/>
  <c r="P162" i="4" s="1"/>
  <c r="H162" i="4"/>
  <c r="O161" i="4"/>
  <c r="P161" i="4" s="1"/>
  <c r="H161" i="4"/>
  <c r="O160" i="4"/>
  <c r="P160" i="4" s="1"/>
  <c r="H160" i="4"/>
  <c r="O159" i="4"/>
  <c r="P159" i="4" s="1"/>
  <c r="H159" i="4"/>
  <c r="O158" i="4"/>
  <c r="P158" i="4" s="1"/>
  <c r="H158" i="4"/>
  <c r="O157" i="4"/>
  <c r="P157" i="4" s="1"/>
  <c r="H157" i="4"/>
  <c r="O156" i="4"/>
  <c r="P156" i="4" s="1"/>
  <c r="H156" i="4"/>
  <c r="O155" i="4"/>
  <c r="P155" i="4" s="1"/>
  <c r="H155" i="4"/>
  <c r="P154" i="4"/>
  <c r="O154" i="4"/>
  <c r="H154" i="4"/>
  <c r="O153" i="4"/>
  <c r="P153" i="4" s="1"/>
  <c r="H153" i="4"/>
  <c r="O152" i="4"/>
  <c r="P152" i="4" s="1"/>
  <c r="H152" i="4"/>
  <c r="O151" i="4"/>
  <c r="P151" i="4" s="1"/>
  <c r="H151" i="4"/>
  <c r="O150" i="4"/>
  <c r="P150" i="4" s="1"/>
  <c r="H150" i="4"/>
  <c r="P149" i="4"/>
  <c r="O149" i="4"/>
  <c r="H149" i="4"/>
  <c r="O148" i="4"/>
  <c r="P148" i="4" s="1"/>
  <c r="H148" i="4"/>
  <c r="O147" i="4"/>
  <c r="P147" i="4" s="1"/>
  <c r="H147" i="4"/>
  <c r="P146" i="4"/>
  <c r="O146" i="4"/>
  <c r="H146" i="4"/>
  <c r="O145" i="4"/>
  <c r="P145" i="4" s="1"/>
  <c r="H145" i="4"/>
  <c r="O144" i="4"/>
  <c r="P144" i="4" s="1"/>
  <c r="H144" i="4"/>
  <c r="O143" i="4"/>
  <c r="P143" i="4" s="1"/>
  <c r="H143" i="4"/>
  <c r="O142" i="4"/>
  <c r="P142" i="4" s="1"/>
  <c r="H142" i="4"/>
  <c r="O141" i="4"/>
  <c r="P141" i="4" s="1"/>
  <c r="H141" i="4"/>
  <c r="O140" i="4"/>
  <c r="P140" i="4" s="1"/>
  <c r="H140" i="4"/>
  <c r="O139" i="4"/>
  <c r="P139" i="4" s="1"/>
  <c r="H139" i="4"/>
  <c r="P138" i="4"/>
  <c r="O138" i="4"/>
  <c r="H138" i="4"/>
  <c r="O137" i="4"/>
  <c r="P137" i="4" s="1"/>
  <c r="H137" i="4"/>
  <c r="O136" i="4"/>
  <c r="P136" i="4" s="1"/>
  <c r="H136" i="4"/>
  <c r="O135" i="4"/>
  <c r="P135" i="4" s="1"/>
  <c r="H135" i="4"/>
  <c r="O134" i="4"/>
  <c r="P134" i="4" s="1"/>
  <c r="H134" i="4"/>
  <c r="O133" i="4"/>
  <c r="P133" i="4" s="1"/>
  <c r="H133" i="4"/>
  <c r="O132" i="4"/>
  <c r="P132" i="4" s="1"/>
  <c r="H132" i="4"/>
  <c r="O131" i="4"/>
  <c r="P131" i="4" s="1"/>
  <c r="H131" i="4"/>
  <c r="O130" i="4"/>
  <c r="P130" i="4" s="1"/>
  <c r="H130" i="4"/>
  <c r="O129" i="4"/>
  <c r="P129" i="4" s="1"/>
  <c r="H129" i="4"/>
  <c r="O128" i="4"/>
  <c r="P128" i="4" s="1"/>
  <c r="H128" i="4"/>
  <c r="O127" i="4"/>
  <c r="P127" i="4" s="1"/>
  <c r="H127" i="4"/>
  <c r="O126" i="4"/>
  <c r="P126" i="4" s="1"/>
  <c r="H126" i="4"/>
  <c r="O125" i="4"/>
  <c r="P125" i="4" s="1"/>
  <c r="H125" i="4"/>
  <c r="O124" i="4"/>
  <c r="P124" i="4" s="1"/>
  <c r="H124" i="4"/>
  <c r="O123" i="4"/>
  <c r="P123" i="4" s="1"/>
  <c r="H123" i="4"/>
  <c r="P122" i="4"/>
  <c r="O122" i="4"/>
  <c r="H122" i="4"/>
  <c r="O121" i="4"/>
  <c r="P121" i="4" s="1"/>
  <c r="H121" i="4"/>
  <c r="O120" i="4"/>
  <c r="P120" i="4" s="1"/>
  <c r="H120" i="4"/>
  <c r="O119" i="4"/>
  <c r="P119" i="4" s="1"/>
  <c r="H119" i="4"/>
  <c r="O118" i="4"/>
  <c r="P118" i="4" s="1"/>
  <c r="H118" i="4"/>
  <c r="P117" i="4"/>
  <c r="O117" i="4"/>
  <c r="H117" i="4"/>
  <c r="O116" i="4"/>
  <c r="P116" i="4" s="1"/>
  <c r="H116" i="4"/>
  <c r="O115" i="4"/>
  <c r="P115" i="4" s="1"/>
  <c r="H115" i="4"/>
  <c r="P114" i="4"/>
  <c r="O114" i="4"/>
  <c r="H114" i="4"/>
  <c r="O113" i="4"/>
  <c r="P113" i="4" s="1"/>
  <c r="H113" i="4"/>
  <c r="O112" i="4"/>
  <c r="P112" i="4" s="1"/>
  <c r="H112" i="4"/>
  <c r="O111" i="4"/>
  <c r="P111" i="4" s="1"/>
  <c r="H111" i="4"/>
  <c r="O110" i="4"/>
  <c r="P110" i="4" s="1"/>
  <c r="H110" i="4"/>
  <c r="O109" i="4"/>
  <c r="P109" i="4" s="1"/>
  <c r="H109" i="4"/>
  <c r="O108" i="4"/>
  <c r="P108" i="4" s="1"/>
  <c r="H108" i="4"/>
  <c r="O107" i="4"/>
  <c r="P107" i="4" s="1"/>
  <c r="H107" i="4"/>
  <c r="P106" i="4"/>
  <c r="O106" i="4"/>
  <c r="H106" i="4"/>
  <c r="O105" i="4"/>
  <c r="P105" i="4" s="1"/>
  <c r="H105" i="4"/>
  <c r="O104" i="4"/>
  <c r="P104" i="4" s="1"/>
  <c r="H104" i="4"/>
  <c r="O103" i="4"/>
  <c r="P103" i="4" s="1"/>
  <c r="H103" i="4"/>
  <c r="O102" i="4"/>
  <c r="P102" i="4" s="1"/>
  <c r="H102" i="4"/>
  <c r="O101" i="4"/>
  <c r="P101" i="4" s="1"/>
  <c r="H101" i="4"/>
  <c r="O100" i="4"/>
  <c r="P100" i="4" s="1"/>
  <c r="H100" i="4"/>
  <c r="O99" i="4"/>
  <c r="P99" i="4" s="1"/>
  <c r="H99" i="4"/>
  <c r="O98" i="4"/>
  <c r="P98" i="4" s="1"/>
  <c r="H98" i="4"/>
  <c r="O97" i="4"/>
  <c r="P97" i="4" s="1"/>
  <c r="H97" i="4"/>
  <c r="O96" i="4"/>
  <c r="P96" i="4" s="1"/>
  <c r="H96" i="4"/>
  <c r="O95" i="4"/>
  <c r="P95" i="4" s="1"/>
  <c r="H95" i="4"/>
  <c r="O94" i="4"/>
  <c r="P94" i="4" s="1"/>
  <c r="H94" i="4"/>
  <c r="O93" i="4"/>
  <c r="P93" i="4" s="1"/>
  <c r="H93" i="4"/>
  <c r="O92" i="4"/>
  <c r="P92" i="4" s="1"/>
  <c r="H92" i="4"/>
  <c r="O91" i="4"/>
  <c r="P91" i="4" s="1"/>
  <c r="H91" i="4"/>
  <c r="P90" i="4"/>
  <c r="O90" i="4"/>
  <c r="H90" i="4"/>
  <c r="O89" i="4"/>
  <c r="P89" i="4" s="1"/>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alcChain>
</file>

<file path=xl/sharedStrings.xml><?xml version="1.0" encoding="utf-8"?>
<sst xmlns="http://schemas.openxmlformats.org/spreadsheetml/2006/main" count="4444" uniqueCount="771">
  <si>
    <t>Ref_No</t>
  </si>
  <si>
    <t>First_Author</t>
  </si>
  <si>
    <t>Year</t>
  </si>
  <si>
    <t>Title</t>
  </si>
  <si>
    <t>Full_Citation</t>
  </si>
  <si>
    <t>Parasite_Species</t>
  </si>
  <si>
    <t>Host_System</t>
  </si>
  <si>
    <t>Target</t>
  </si>
  <si>
    <t>Source_URL</t>
  </si>
  <si>
    <t>Negative_Control</t>
  </si>
  <si>
    <t>Off_Targets_Checked</t>
  </si>
  <si>
    <t>mRNA_Expression_Assay</t>
  </si>
  <si>
    <t>Phenotype_Assay</t>
  </si>
  <si>
    <t>Knockdown_Effectiveness</t>
  </si>
  <si>
    <t>mRNA_Knockdown_By_Gene_Timepoint</t>
  </si>
  <si>
    <t>Spore_Number_By_Gene_Timepoint</t>
  </si>
  <si>
    <t>EHP_Copy_Number_By_Gene_Timepoint</t>
  </si>
  <si>
    <t>Quant_Data_Normalized</t>
  </si>
  <si>
    <t>Beta_Tubulin_By_Gene_Timepoint</t>
  </si>
  <si>
    <t>Paldi</t>
  </si>
  <si>
    <t>Effective Gene Silencing in a Microsporidian Parasite Associated with Honeybee (Apis mellifera) Colony Declines</t>
  </si>
  <si>
    <t>Paldi, N., Glick, E., Oliva, M., Zilberberg, Y., Aubin, L., Pettis, J., Chen, Y., and Evans, J.D. (2010). Effective Gene Silencing in a Microsporidian Parasite Associated with Honeybee (Apis mellifera) Colony Declines. Appl. Environ. Microbiol. 76, 5960–5964.</t>
  </si>
  <si>
    <t>Vairimorpha (=Nosema) ceranae</t>
  </si>
  <si>
    <t>Apis mellifera (adult bees, in vivo)</t>
  </si>
  <si>
    <t>ATP transporters</t>
  </si>
  <si>
    <t>Yes</t>
  </si>
  <si>
    <t>https://doi.org/10.1128/AEM.01067-10</t>
  </si>
  <si>
    <t>untreated</t>
  </si>
  <si>
    <t>None</t>
  </si>
  <si>
    <t>qPCR</t>
  </si>
  <si>
    <t>none</t>
  </si>
  <si>
    <t>Targeted atp transporter transcripts were measured by qPCR; no quantitative phenotype values were supplied by the user.</t>
  </si>
  <si>
    <t>Huang</t>
  </si>
  <si>
    <t>Effective Silencing of Dicer Decreases Spore Load of the Honey Bee Parasite Nosema ceranae</t>
  </si>
  <si>
    <t>Huang, Q., Chen, Y., Neumann, P., Li, W., and Evans, J.D. (2016). Effective Silencing of Dicer Decreases Spore Load of the Honey Bee Parasite Nosema ceranae. Fungal Genomics Biol. 06. https://doi.org/10.7892/boris.92937.</t>
  </si>
  <si>
    <t>Dicer</t>
  </si>
  <si>
    <t>https://doi.org/10.7892/boris.92937</t>
  </si>
  <si>
    <t>siRNA scramble</t>
  </si>
  <si>
    <t>spore number</t>
  </si>
  <si>
    <t>Spore load as % of control: Dicer = 26.0%. qPCR was reported for Dicer, but no time-course mRNA values were supplied by the user.</t>
  </si>
  <si>
    <t>Dicer = 0.26x</t>
  </si>
  <si>
    <t>See Quant_Timepoint_Data sheet</t>
  </si>
  <si>
    <t>He</t>
  </si>
  <si>
    <t>Evolutionary and functional studies on microsporidian ATP-binding cassettes: Insights into the adaptation of microsporidia to obligated intracellular parasitism</t>
  </si>
  <si>
    <t>He, Q., Vossbrinck, C.R., Yang, Q., Meng, X.-Z., Luo, J., Pan, G.-Q., Zhou, Z.-Y., and Li, T. (2019). Evolutionary and functional studies on microsporidian ATP-binding cassettes: Insights into the adaptation of microsporidia to obligated intracellular parasitism. Infect. Genet. Evol. 68, 136–144. https://doi.org/10.1016/j.meegid.2018.12.022.</t>
  </si>
  <si>
    <t>Nosema bombycis</t>
  </si>
  <si>
    <t>Bombyx mori / infected silkworm cell system</t>
  </si>
  <si>
    <t>NoboABCG1.1</t>
  </si>
  <si>
    <t>https://doi.org/10.1016/j.meegid.2018.12.022</t>
  </si>
  <si>
    <t>EGFP</t>
  </si>
  <si>
    <t>Relative expression as % of control (qPCR): NoboABCG1.1 1 dpi = 68.0%; 6 dpi = 44.0%. Beta-tubulin copies as % of control: 1 dpi = 96.0%; 6 dpi = 56.0%.</t>
  </si>
  <si>
    <t>NoboABCG1.1 = 0.68x / 0.44x (1 dpi / 6 dpi)</t>
  </si>
  <si>
    <t>NoboABCG1.1 = 0.96x / 0.56x (1 dpi / 6 dpi)</t>
  </si>
  <si>
    <t>Zheng</t>
  </si>
  <si>
    <t>The role of NbTMP1, a surface protein of sporoplasm, in Nosema bombycis infection</t>
  </si>
  <si>
    <t>Zheng, S., Huang, Y., Huang, H., Yu, B., Zhou, N., Wei, J., Pan, G., Li, C., and Zhou, Z. (2021). The role of NbTMP1, a surface protein of sporoplasm, in Nosema bombycis infection. Parasit. Vectors 14, 81. https://doi.org/10.1186/s13071-021-04595-8.</t>
  </si>
  <si>
    <t>Bombyx mori / infected silkworm cells</t>
  </si>
  <si>
    <t>NbTMP1</t>
  </si>
  <si>
    <t>https://doi.org/10.1186/s13071-021-04595-8</t>
  </si>
  <si>
    <t>Relative expression as % of control (qPCR): NbTMP1 1 dpi = 62.0%; 3 dpi = 56.0%; 5 dpi = 64.0%. Beta-tubulin copies as % of control: 1 dpi = 53.0%; 3 dpi = 76.0%; 5 dpi = 57.0%.</t>
  </si>
  <si>
    <t>NbTMP1 = 0.62x / 0.56x / 0.64x (1 dpi / 3 dpi / 5 dpi)</t>
  </si>
  <si>
    <t>NbTMP1 = 0.53x / 0.76x / 0.57x (1 dpi / 3 dpi / 5 dpi)</t>
  </si>
  <si>
    <t>Characterization of Hsp70 gene family provides insight into its functions related to microsporidian proliferation</t>
  </si>
  <si>
    <t>He, Q., Luo, J., Xu, J.-Z., Meng, X., Pan, G.-Q., Li, T., and Zhou, Z.-Y. (2020). Characterization of Hsp70 gene family provides insight into its functions related to microsporidian proliferation. J. Invertebr. Pathol. 174, 107394. https://doi.org/10.1016/j.jip.2020.107394.</t>
  </si>
  <si>
    <t>Cyto-NbHsp70</t>
  </si>
  <si>
    <t>https://doi.org/10.1016/j.jip.2020.107394</t>
  </si>
  <si>
    <t>Relative expression as % of control (qPCR): Cyto-NbHsp70 1 dpi = 90.0%; 3 dpi = 60.0%; 5 dpi = 80.0%. Beta-tubulin copies as % of control: 1 dpi = 113.0%; 3 dpi = 60.0%; 5 dpi = 77.0%.</t>
  </si>
  <si>
    <t>Cyto-NbHsp70 = 0.90x / 0.60x / 0.80x (1 dpi / 3 dpi / 5 dpi)</t>
  </si>
  <si>
    <t>Cyto-NbHsp70 = 1.13x / 0.60x / 0.77x (1 dpi / 3 dpi / 5 dpi)</t>
  </si>
  <si>
    <t>A secretory hexokinase plays an active role in the proliferation of Nosema bombycis</t>
  </si>
  <si>
    <t>Huang, Y., Zheng, S., Mei, X., Yu, B., Sun, B., Li, B., Wei, J., Chen, J., Li, T., Pan, G., et al. (2018). A secretory hexokinase plays an active role in the proliferation of Nosema bombycis. PeerJ 6, e5658. https://doi.org/10.7717/peerj.5658.</t>
  </si>
  <si>
    <t>NbHK</t>
  </si>
  <si>
    <t>https://doi.org/10.7717/peerj.5658</t>
  </si>
  <si>
    <t>GFP</t>
  </si>
  <si>
    <t>Relative expression as % of control (qPCR): NbHK 1 dpi = 108.0%; 3 dpi = 44.0%; 5 dpi = 85.0%. Beta-tubulin copies as % of control: 1 dpi = 149.0%; 3 dpi = 34.0%; 5 dpi = 92.0%.</t>
  </si>
  <si>
    <t>NbHK = 1.08x / 0.44x / 0.85x (1 dpi / 3 dpi / 5 dpi)</t>
  </si>
  <si>
    <t>NbHK = 1.49x / 0.34x / 0.92x (1 dpi / 3 dpi / 5 dpi)</t>
  </si>
  <si>
    <t>Rodríguez-García</t>
  </si>
  <si>
    <t>Nosemosis control in European honey bees, Apis mellifera, by silencing the gene encoding Nosema ceranae polar tube protein 3</t>
  </si>
  <si>
    <t>Rodríguez-García, C., Evans, J.D., Li, W., Branchiccela, B., Li, J.H., Heerman, M.C., Banmeke, O., Zhao, Y., Hamilton, M., Higes, M., et al. (2018). Nosemosis control in European honey bees, Apis mellifera, by silencing the gene encoding Nosema ceranae polar tube protein 3. J. Exp. Biol. 221, jeb184606. https://doi.org/10.1242/jeb.184606.</t>
  </si>
  <si>
    <t>ptp3</t>
  </si>
  <si>
    <t>https://doi.org/10.1242/jeb.184606</t>
  </si>
  <si>
    <t>spore number; ssRNA; host immunity</t>
  </si>
  <si>
    <t>Relative expression as % of untreated control (qPCR): ptp3 Day 5 = 121.0%; Day 10 = 32.0%; Day 15 = 9.0%; Day 20 = 6.0%. Spore number as % of untreated: Day 5 = 125.0%; Day 10 = 56.0%; Day 15 = 47.0%; Day 20 = 45.0%. ssRNA as % of untreated: Day 5 = 40.0%; Day 10 = 4.0%; Day 15 = 1.0%; Day 20 = 1.3%. Host immunity was also reported as a non-growth phenotype.</t>
  </si>
  <si>
    <t>ptp3 = 1.21x / 0.32x / 0.09x / 0.06x (Day 5 / Day 10 / Day 15 / Day 20)</t>
  </si>
  <si>
    <t>ptp3 spore number = 1.25x / 0.56x / 0.47x / 0.45x; ssRNA = 0.40x / 0.04x / 0.01x / 0.013x (Day 5 / Day 10 / Day 15 / Day 20)</t>
  </si>
  <si>
    <t>Chen</t>
  </si>
  <si>
    <t>A Novel Spore Wall Protein from Antonospora locustae (Microsporidia: Nosematidae) Contributes to Sporulation</t>
  </si>
  <si>
    <t>Chen, L., Li, R., You, Y., Zhang, K., and Zhang, L. (2017). A Novel Spore Wall Protein from Antonospora locustae (Microsporidia: Nosematidae) Contributes to Sporulation. J. Eukaryot. Microbiol. 64, 779–791. https://doi.org/10.1111/jeu.12410.</t>
  </si>
  <si>
    <t>Antonospora locustae</t>
  </si>
  <si>
    <t>Locusts (in vivo)</t>
  </si>
  <si>
    <t>AlocSWP2</t>
  </si>
  <si>
    <t>https://doi.org/10.1111/jeu.12410</t>
  </si>
  <si>
    <t>spores; host survival</t>
  </si>
  <si>
    <t>Approximate relative expression as % of GFP control (qPCR, back-transformed from figure): AlocSWP2 = 4.0%. Approximate spore number as % of GFP control: 49.0%. Host survival was also reported as a non-growth phenotype.</t>
  </si>
  <si>
    <t>AlocSWP2 = 0.04x</t>
  </si>
  <si>
    <t>AlocSWP2 = 0.49x</t>
  </si>
  <si>
    <t>Saleh</t>
  </si>
  <si>
    <t>In Vitro Gene Silencing of the Fish Microsporidian Heterosporis saurida by RNA Interference</t>
  </si>
  <si>
    <t>Saleh, M., Kumar, G., Abdel-Baki, A.-A., Dkhil, M.A., El-Matbouli, M., and Al-Quraishy, S. (2016). In Vitro Gene Silencing of the Fish Microsporidian Heterosporis saurida by RNA Interference. Nucleic Acid Ther. 26, 250–256. https://doi.org/10.1089/nat.2016.0613.</t>
  </si>
  <si>
    <t>Heterosporis saurida</t>
  </si>
  <si>
    <t>EK-1 fish cell culture (in vitro)</t>
  </si>
  <si>
    <t>ATP/ADP antiporter 1; methionine aminopeptidase II</t>
  </si>
  <si>
    <t>https://doi.org/10.1089/nat.2016.0613</t>
  </si>
  <si>
    <t>ssRNA; spores</t>
  </si>
  <si>
    <t>Target mRNA expression as % of untreated infected cells (qPCR): ATP/ADP antiporter 1 24 h = 72.0%; 72 h = 70.0%; 7 d = 60.0%. Methionine aminopeptidase II 24 h = 91.0%; 72 h = 55.0%; 7 d = 40.0%. ssRNA as fold vs untreated: ATP/ADP antiporter 1 24 h = 0.53x; 72 h = 0.39x; 7 d = 0.055x. Methionine aminopeptidase II 24 h = 0.26x; 72 h = 0.22x; 7 d = 0.045x. Spore count at 7 d was 59.5% and 40.5% of untreated for ATP/ADP antiporter 1 and methionine aminopeptidase II, respectively.</t>
  </si>
  <si>
    <t>ATP/ADP antiporter 1 = 0.72x / 0.70x / 0.60x; methionine aminopeptidase II = 0.91x / 0.55x / 0.40x (24 h / 72 h / 7 d)</t>
  </si>
  <si>
    <t>ATP/ADP antiporter 1 ssRNA = 0.53x / 0.39x / 0.055x; methionine aminopeptidase II ssRNA = 0.26x / 0.22x / 0.045x (24 h / 72 h / 7 d). Spore count at 7 d: ATP/ADP antiporter 1 = 0.595x; methionine aminopeptidase II = 0.405x</t>
  </si>
  <si>
    <t>Qi</t>
  </si>
  <si>
    <t>CCTδ colocalizes with actin and β-tubulin: Insight into its involvement in the cytoskeleton formation of the intracellular parasite Nosema bombycis</t>
  </si>
  <si>
    <t>Qi, J., Zhu, F., Shao, L., Chen, Y., Li, J., He, P., Shang, R., Sun, F., Wang, Q., Zhang, Y., et al. (2021). CCTδ colocalizes with actin and β-tubulin: Insight into its involvement in the cytoskeleton formation of the intracellular parasite Nosema bombycis. J. Invertebr. Pathol. 184, 107646. https://doi.org/10.1016/j.jip.2021.107646.</t>
  </si>
  <si>
    <t>NbCCTdelta</t>
  </si>
  <si>
    <t>https://doi.org/10.1016/j.jip.2021.107646</t>
  </si>
  <si>
    <t>non-sense siRNA</t>
  </si>
  <si>
    <t>none; microsporidia actin and β-tubulin localization (not quantified)</t>
  </si>
  <si>
    <t>Target mRNA expression was measured by qPCR. No quantified parasite growth phenotype was supplied here; microsporidia actin and β-tubulin localization were reported qualitatively as non-growth phenotypes.</t>
  </si>
  <si>
    <t>Yao</t>
  </si>
  <si>
    <t>Identification and subcellular localization analysis of CCTα in microsporidian Nosema bombycis</t>
  </si>
  <si>
    <t>Yao, M., Wang, R., Chen, Y., He, P., Wei, E., Zhu, F., Wang, Q., Zhang, Y., Tang, X., and Shen, Z. (2022). Identification and subcellular localization analysis of CCTα in microsporidian Nosema bombycis. Infect. Genet. Evol. 102, 105309. https://doi.org/10.1016/j.meegid.2022.105309.</t>
  </si>
  <si>
    <t>NbCCTalpha</t>
  </si>
  <si>
    <t>https://doi.org/10.1016/j.meegid.2022.105309</t>
  </si>
  <si>
    <t>beta-tubulin</t>
  </si>
  <si>
    <t>Relative expression as % of control (qPCR): NbCCTalpha 24 h = 60.0%; 48 h = 40.0%; 72 h = 57.0%; 96 h = 11.0%. β-tubulin copies as % of control: 24 h = 60.0%; 48 h = 57.0%; 72 h = 64.0%; 96 h = 23.0%.</t>
  </si>
  <si>
    <t>NbCCTalpha = 0.60x / 0.40x / 0.57x / 0.11x (24 h / 48 h / 72 h / 96 h)</t>
  </si>
  <si>
    <t>NbCCTalpha = 0.60x / 0.57x / 0.64x / 0.23x (24 h / 48 h / 72 h / 96 h)</t>
  </si>
  <si>
    <t>Identification and subcellular localization analysis of membrane protein Ycf 1 in the microsporidian Nosema bombycis</t>
  </si>
  <si>
    <t>Chen, Y., Wei, E., Chen, Y., He, P., Wang, R., Wang, Q., Tang, X., Zhang, Y., Zhu, F., and Shen, Z. (2022). Identification and subcellular localization analysis of membrane protein Ycf 1 in the microsporidian Nosema bombycis. PeerJ 10, e13530. https://doi.org/10.7717/peerj.13530.</t>
  </si>
  <si>
    <t>YCF1</t>
  </si>
  <si>
    <t>https://doi.org/10.7717/peerj.13530</t>
  </si>
  <si>
    <t>non-sense SiRNA</t>
  </si>
  <si>
    <t>Relative expression as % of control (qPCR): YCF1 24 h = 23.0%; 48 h = 67.0%; 72 h = 67.0%; 96 h = 15.0%; 120 h = 61.0%. Beta-tubulin copies as % of control: 24 h = 11.0%; 48 h = 50.0%; 72 h = 25.0%; 96 h = 13.0%; 120 h = 89.0%.</t>
  </si>
  <si>
    <t>YCF1 = 0.23x / 0.67x / 0.67x / 0.15x / 0.61x (24 h / 48 h / 72 h / 96 h / 120 h)</t>
  </si>
  <si>
    <t>YCF1 = 0.11x / 0.50x / 0.25x / 0.13x / 0.89x (24 h / 48 h / 72 h / 96 h / 120 h)</t>
  </si>
  <si>
    <t>Zhu</t>
  </si>
  <si>
    <t>Identification and subcellular localization of NbIAP in the microsporidian Nosema bombycis</t>
  </si>
  <si>
    <t>Zhu, F., Xiao, S., Qin, X., Liu, Q., Li, H., Ming, D., and Bai, X. (2022). Identification and subcellular localization of NbIAP in the microsporidian Nosema bombycis. J. Invertebr. Pathol. 195, 107846. https://doi.org/10.1016/j.jip.2022.107846.</t>
  </si>
  <si>
    <t>NbIAP</t>
  </si>
  <si>
    <t>https://doi.org/10.1016/j.jip.2022.107846</t>
  </si>
  <si>
    <t>Relative expression as % of control (qPCR): NbIAP 3 dpi = 38.0%; 5 dpi = 67.0%. Beta-tubulin copies as % of control: 3 dpi = 50.0%; 5 dpi = 64.0%.</t>
  </si>
  <si>
    <t>NbIAP = 0.38x / 0.67x (3 dpi / 5 dpi)</t>
  </si>
  <si>
    <t>NbIAP = 0.50x / 0.64x (3 dpi / 5 dpi)</t>
  </si>
  <si>
    <t>RNA Interference-Mediated Knockdown of Genes Encoding Spore Wall Proteins Confers Protection against Nosema ceranae Infection in the European Honey Bee, Apis mellifera</t>
  </si>
  <si>
    <t>He, N., Zhang, Y., Duan, X.L., Li, J.H., Huang, W.-F., Evans, J.D., DeGrandi-Hoffman, G., Chen, Y.P., and Huang, S.K. (2021). RNA Interference-Mediated Knockdown of Genes Encoding Spore Wall Proteins Confers Protection against Nosema ceranae Infection in the European Honey Bee, Apis mellifera. Microorganisms 9, 505. https://doi.org/10.3390/microorganisms9030505.</t>
  </si>
  <si>
    <t>SWP8; SWP12</t>
  </si>
  <si>
    <t>https://doi.org/10.3390/microorganisms9030505</t>
  </si>
  <si>
    <t>ssRNA; spore number; host immune expression; host survival</t>
  </si>
  <si>
    <t>Approximate values from bar plots. Relative expression as % of control (qPCR): SWP8 Day 12 = 55.0%; Day 15 = 10.0%. SWP12 Day 12 = 33.0%; Day 15 = 14.0%. ssRNA as % of control: SWP8 Day 12 = 33.0%; Day 15 = 15.0%. Spore load as % of control: SWP8 = 39.0%; SWP12 = 43.0%. Host immune expression and host survival also reported as non-growth phenotypes.</t>
  </si>
  <si>
    <t>SWP8 = 0.55x / 0.10x (Day 12 / Day 15); SWP12 = 0.33x / 0.14x (Day 12 / Day 15)</t>
  </si>
  <si>
    <t>SWP8 ssRNA = 0.33x / 0.15x (Day 12 / Day 15); spore load: SWP8 = 0.39x; SWP12 = 0.43x</t>
  </si>
  <si>
    <t>Ma</t>
  </si>
  <si>
    <t>Functional characterization of Nosema bombycis (microsporidia) trehalase 3</t>
  </si>
  <si>
    <t>Ma, M., Ling, M., Huang, Q., Xu, Y., Yang, X., Kyei, B., Wang, Q., Tang, X., Shen, Z., Zhang, Y., et al. (2023). Functional characterization of Nosema bombycis (microsporidia) trehalase 3. Parasitol. Res. 123, 59. https://doi.org/10.1007/s00436-023-08082-0.</t>
  </si>
  <si>
    <t>NbTre3</t>
  </si>
  <si>
    <t>https://doi.org/10.1007/s00436-023-08082-0</t>
  </si>
  <si>
    <t>ssRNA</t>
  </si>
  <si>
    <t>Relative expression as % of control (qPCR): NbTre3 24 h = 97.0%; 48 h = 8.0%; 72 h = 10.0%. ssRNA as % of control: 24 h = 60.0%; 48 h = 86.0%; 72 h = 94.0%.</t>
  </si>
  <si>
    <t>NbTre3 = 0.97x / 0.08x / 0.10x (24 h / 48 h / 72 h)</t>
  </si>
  <si>
    <t>NbTre3 = 0.60x / 0.86x / 0.94x (24 h / 48 h / 72 h)</t>
  </si>
  <si>
    <t>Kim</t>
  </si>
  <si>
    <t>Increased survival of the honey bee Apis mellifera infected with the microsporidian Nosema ceranae by effective gene silencing</t>
  </si>
  <si>
    <t>Kim, I.-H., Kim, D.-J., Gwak, W.-S., and Woo, S.-D. (2020). Increased survival of the honey bee Apis mellifera infected with the microsporidian Nosema ceranae by effective gene silencing. Arch. Insect Biochem. Physiol. 105, e21734. https://doi.org/10.1002/arch.21734.</t>
  </si>
  <si>
    <t>Multiple parasite metabolic genes</t>
  </si>
  <si>
    <t>https://doi.org/10.1002/arch.21734</t>
  </si>
  <si>
    <t>Lang</t>
  </si>
  <si>
    <t>Engineered symbiotic bacteria interfering Nosema redox system inhibit microsporidia parasitism in honeybees</t>
  </si>
  <si>
    <t>Lang, H., Wang, H., Wang, H., Zhong, Z., Xie, X., Zhang, W., Guo, J., Meng, L., Hu, X., Zhang, X., et al. (2023). Engineered symbiotic bacteria interfering Nosema redox system inhibit microsporidia parasitism in honeybees. Nat. Commun. 14, 2778. https://doi.org/10.1038/s41467-023-38498-2.</t>
  </si>
  <si>
    <t>Apis mellifera with engineered gut symbiont</t>
  </si>
  <si>
    <t>GPx-1; GPx-2; TrxR; γGCS; GS; TPx</t>
  </si>
  <si>
    <t>https://doi.org/10.1038/s41467-023-38498-2</t>
  </si>
  <si>
    <t>ssRNA; spore number</t>
  </si>
  <si>
    <t>Relative expression as % of control (qPCR): GPx-1 = 50.0%; GPx-2 = 47.0%; γGCS = 13.0%; GS = 15.0%; TrxR = 26.0%; TPx = 36.0%. Spores/gut as % of control: γGCS = 7.8%; GS = 1.8%; GPx-1 = 33.7%; GPx-2 = 29.1%; TrxR = 17.7%; TPx = 14.8%. ssRNA/qPCR as % of control: γGCS = 100.1%; GS = 15.5%; GPx-1 = 129.9%; GPx-2 = 120.8%; TrxR = 95.3%; TPx = 100.9%.</t>
  </si>
  <si>
    <t>GPx-1 = 0.50x; GPx-2 = 0.47x; γGCS = 0.13x; GS = 0.15x; TrxR = 0.26x; TPx = 0.36x</t>
  </si>
  <si>
    <t>γGCS = 0.078x; GS = 0.018x; GPx-1 = 0.337x; GPx-2 = 0.291x; TrxR = 0.177x; TPx = 0.148x</t>
  </si>
  <si>
    <t>Engineered gut symbiont inhibits microsporidian parasite and improves honey bee survival</t>
  </si>
  <si>
    <t>Huang, Q., Lariviere, P.J., Powell, J.E., and Moran, N.A. (2023). Engineered gut symbiont inhibits microsporidian parasite and improves honey bee survival. Proc. Natl. Acad. Sci. U. S. A. 120. https://doi.org/10.1073/pnas.2220922120.</t>
  </si>
  <si>
    <t>SSP_plus_PTP1</t>
  </si>
  <si>
    <t>https://doi.org/10.1073/pnas.2220922120</t>
  </si>
  <si>
    <t>Approximate back-transformed spore number as % of control: 45.0%. ssRNA phenotype was listed, but no quantitative ssRNA values were supplied here.</t>
  </si>
  <si>
    <t>SSP_plus_PTP1 = 0.45x</t>
  </si>
  <si>
    <t>Evans</t>
  </si>
  <si>
    <t>Interactions Among Host–Parasite MicroRNAs During Nosema ceranae Proliferation in Apis mellifera</t>
  </si>
  <si>
    <t>Evans, J.D., and Huang, Q. (2018). Interactions Among Host–Parasite MicroRNAs During Nosema ceranae Proliferation in Apis mellifera. Front. Microbiol. 9. https://doi.org/10.3389/fmicb.2018.00698.</t>
  </si>
  <si>
    <t>dicer</t>
  </si>
  <si>
    <t>https://doi.org/10.3389/fmicb.2018.00698</t>
  </si>
  <si>
    <t>siRNA-scramble</t>
  </si>
  <si>
    <t>miRNA expression</t>
  </si>
  <si>
    <t>No parasite growth phenotype values entered; the paper focused on miRNA-expression changes following dicer RNAi.</t>
  </si>
  <si>
    <t>Lim</t>
  </si>
  <si>
    <t>Target gene screening and validation for RNAi-based suppression of the microsporidian parasite Vairimorpha (=Nosema) ceranae in honeybees</t>
  </si>
  <si>
    <t>Lim, S., Yoo, H., Han, G., Kim, W., and Kim, M. (2025). Target gene screening and validation for RNAi-based suppression of the microsporidian parasite Vairimorpha (=Nosema) ceranae in honeybees. Chem. Biol. Technol. Agric. 12, 116. https://doi.org/10.1186/s40538-025-00831-w.</t>
  </si>
  <si>
    <t>swp25; metap2; spp; spm; hnf3; swp30; swp-pre.; tpx; sar1; cdc48; dna-pkcs; swp12; fnr1; fnr2</t>
  </si>
  <si>
    <t>https://doi.org/10.1186/s40538-025-00831-w</t>
  </si>
  <si>
    <t>GFP; NFW control (mRNA validation)</t>
  </si>
  <si>
    <t>Relative 16S rRNA copies as % of GFP control: metap2 = 36.0%; spp = 43.0%; spm = 54.0%; hnf3 = 56.0%; swp30 = 61.0%; swp-pre. = 63.0%; tpx = 66.0%; sar1 = 68.0%; cdc48 = 93.0%; dna-pkcs = 115.0%; swp25 = 24.0%; swp12 = 66.0%; fnr1 = 73.0%; fnr2 = 72.0%. Target mRNA expression as % of NFW control: swp25 = 5.0%; swp12 = 51.0%; fnr1 = 76.0%; fnr2 = 20.0%. Spore number as % of GFP control: swp25 = 39.0%.</t>
  </si>
  <si>
    <t>swp25 = 0.05x; swp12 = 0.51x; fnr1 = 0.76x; fnr2 = 0.20x</t>
  </si>
  <si>
    <t>swp25 = 0.39x</t>
  </si>
  <si>
    <t>da Cruz Souza</t>
  </si>
  <si>
    <t>Endochitinase from the Microsporidia Nosema ceranae facilitates infection in the honey bee Apis mellifera</t>
  </si>
  <si>
    <t>da Cruz Souza, A.M., Santos, C.G., Oliveira, A.H., Carneiro, L.S., Resende, M.T.C.S. de, Oliveira, L.L., and Serrão, J.E. (2024). Endochitinase from the Microsporidia Nosema ceranae facilitates infection in the honey bee Apis mellifera. Apidologie 55, 42. https://doi.org/10.1007/s13592-024-01078-4.</t>
  </si>
  <si>
    <t>Endochitinase</t>
  </si>
  <si>
    <t>https://doi.org/10.1007/s13592-024-01078-4</t>
  </si>
  <si>
    <t>spore number; spore viability</t>
  </si>
  <si>
    <t>Spore number as % of control: 28.0%. Spore viability also decreased (non-growth phenotype).</t>
  </si>
  <si>
    <t>endochitinase = 0.28x</t>
  </si>
  <si>
    <t>Yuanlae</t>
  </si>
  <si>
    <t>Shrimp injection with dsRNA targeting the microsporidian EHP polar tube protein reduces internal and external parasite amplification</t>
  </si>
  <si>
    <t>Yuanlae, S., Prasartset, T., Reamtong, O., Munkongwongsiri, N., Panphloi, M., Preechakul, T., Suebsing, R., Thitamadee, S., Prachumwat, A., Itsathitphaisarn, O., et al. (2024). Shrimp injection with dsRNA targeting the microsporidian EHP polar tube protein reduces internal and external parasite amplification. Sci. Rep. 14, 4830. https://doi.org/10.1038/s41598-024-55400-2.</t>
  </si>
  <si>
    <t>Shrimp (in vivo)</t>
  </si>
  <si>
    <t>EhPtp2</t>
  </si>
  <si>
    <t>https://doi.org/10.1038/s41598-024-55400-2</t>
  </si>
  <si>
    <t>RT-PCR</t>
  </si>
  <si>
    <t>EhSWP1</t>
  </si>
  <si>
    <t>EhSWP1 expression as % of control: 7 dpi = 168.0%; 14 dpi = 148.0%; 21 dpi = 24.0%.</t>
  </si>
  <si>
    <t>EhSWP1 (EGFP-dsRNA, EhPTP2-dsRNA, RNAi/control): 7 dpi = 0.98, 1.65, 1.68; 14 dpi = 1.00, 1.48, 1.48; 21 dpi = 0.62, 0.15, 0.24.</t>
  </si>
  <si>
    <t>EhSWP1 relative expression (EGFP-dsRNA, EhPTP2-dsRNA, RNAi/control): 7 dpi = 0.98, 1.65, 1.68; 14 dpi = 1.00, 1.48, 1.48; 21 dpi = 0.62, 0.15, 0.24.</t>
  </si>
  <si>
    <t>Dicer regulates Nosema ceranae proliferation in honeybees</t>
  </si>
  <si>
    <t>Huang, Q., Li, W., Chen, Y., Retschnig-Tanner, G., Yanez, O., Neumann, P., and Evans, J.D. (2019). Dicer regulates Nosema ceranae proliferation in honeybees. Insect Mol. Biol. 28, 74–85. https://doi.org/10.1111/imb.12534.</t>
  </si>
  <si>
    <t>https://doi.org/10.1111/imb.12534</t>
  </si>
  <si>
    <t>RNAseq</t>
  </si>
  <si>
    <t>spores</t>
  </si>
  <si>
    <t>Spore load as % of control: 15.0%.</t>
  </si>
  <si>
    <t>dicer = 0.15x</t>
  </si>
  <si>
    <t>Targeting the honey bee gut parasite Nosema ceranae with siRNA positively affects gut bacteria</t>
  </si>
  <si>
    <t>Huang, Q., and Evans, J.D. (2020). Targeting the honey bee gut parasite Nosema ceranae with siRNA positively affects gut bacteria. BMC Microbiol. 20, 258. https://doi.org/10.1186/s12866-020-01939-9.</t>
  </si>
  <si>
    <t>Parasite target genes affecting gut infection (exact gene set not explicit in title; often cited with mitosome-related targets)</t>
  </si>
  <si>
    <t>https://doi.org/10.1186/s12866-020-01939-9</t>
  </si>
  <si>
    <t>Liposome-based RNAi delivery in honeybee for inhibiting parasite Nosema ceranae</t>
  </si>
  <si>
    <t>Qi, Y., Wang, C., Lang, H., Wang, Y., Wang, X., Zheng, H., and Lu, Y. (2024). Liposome-based RNAi delivery in honeybee for inhibiting parasite Nosema ceranae. Synth. Syst. Biotechnol. 9, 853–860. https://doi.org/10.1016/j.synbio.2024.07.003.</t>
  </si>
  <si>
    <t>thioredoxin reductase</t>
  </si>
  <si>
    <t>https://doi.org/10.1016/j.synbio.2024.07.003</t>
  </si>
  <si>
    <t>Relative expression as % of control (qPCR): thioredoxin reductase = 62.0%. Spores/bee as % of control: 19.0%.</t>
  </si>
  <si>
    <t>thioredoxin reductase = 0.62x</t>
  </si>
  <si>
    <t>thioredoxin reductase = 0.19x</t>
  </si>
  <si>
    <t>Wang</t>
  </si>
  <si>
    <t>Symbiont-mediated antisense RNA delivery controls Nosema ceranae infections in Apis mellifera</t>
  </si>
  <si>
    <t>Wang, S., Li, H., Shi, R., and Fu, Y. (2024). Symbiont-mediated antisense RNA delivery controls Nosema ceranae infections in Apis mellifera. J. Invertebr. Pathol. 207, 108185. https://doi.org/10.1016/j.jip.2024.108185.</t>
  </si>
  <si>
    <t>Apis mellifera with symbiont-mediated delivery</t>
  </si>
  <si>
    <t>Parasite target gene(s) not specified in title</t>
  </si>
  <si>
    <t>https://doi.org/10.1016/j.jip.2024.108185</t>
  </si>
  <si>
    <t>Engineered gut symbiont targets mite and microsporidian parasites and improves honey bee survival</t>
  </si>
  <si>
    <t>Huang, Q., Wei, X., Zang, L., Powell, J.E., and Moran, N. (2025). Engineered gut symbiont targets mite and microsporidian parasites and improves honey bee survival. Proc. R. Soc. B Biol. Sci. 292, 20251743. https://doi.org/10.1098/rspb.2025.1743.</t>
  </si>
  <si>
    <t>Multiple essential parasite genes; plus mite targets in same platform</t>
  </si>
  <si>
    <t>https://doi.org/10.1098/rspb.2025.1743</t>
  </si>
  <si>
    <t>All-Russian Institute for Plant Protection</t>
  </si>
  <si>
    <t>First evaluation of the Vairimorpha (Nosema) ceranae genome’s DNA replication genes as targets for RNA interference-mediated suppression of the honey bee Apis mellifera nosemosis</t>
  </si>
  <si>
    <t>All-Russian Institute for Plant Protection, V. Dolgikh, V., N. Ignatieva, A., All-Russian Institute for Plant Protection, S. Rumiantseva, A., All-Russian Institute for Plant Protection, A. Timofeev, S., All-Russian Institute for Plant Protection, R. Fadeev, R., All-Russian Institute for Plant Protection, et al. (2025). First evaluation of the Vairimorpha (Nosema) ceranae genome’s DNA replication genes as targets for RNA interference-mediated suppression of the honey bee Apis mellifera nosemosis. Protistology 19. https://doi.org/10.21685/1680-0826-2025-19-1-1.</t>
  </si>
  <si>
    <t>DNA replication genes</t>
  </si>
  <si>
    <t>https://doi.org/10.21685/1680-0826-2025-19-1-1</t>
  </si>
  <si>
    <t>Sun</t>
  </si>
  <si>
    <t>Identification and subcellular colocalization of protein transport protein Sec61α and Sec61γ in Nosema bombycis</t>
  </si>
  <si>
    <t>Sun, J., Qin, F., Sun, F., He, P., Wei, E., Wang, R., Zhu, F., Wang, Q., Tang, X., Zhang, Y., et al. (2023). Identification and subcellular colocalization of protein transport protein Sec61α and Sec61γ in Nosema bombycis. Gene 851, 146971. https://doi.org/10.1016/j.gene.2022.146971.</t>
  </si>
  <si>
    <t>NbSec61α</t>
  </si>
  <si>
    <t>https://doi.org/10.1016/j.gene.2022.146971</t>
  </si>
  <si>
    <t>control RNA</t>
  </si>
  <si>
    <t>NbSec61γ</t>
  </si>
  <si>
    <t>Relative expression as % of control (qPCR): NbSec61α 24 h = 82.0%; 48 h = 89.0%; 72 h = 30.0%; 96 h = 80.0%. NbSec61γ off-target expression: 48 h = 21.0%; 72 h = 63.0%; 96 h = 47.0%. ssRNA expression as % of control: 24 h = 50.0%; 48 h = 71.0%; 72 h = 54.0%; 96 h = 97.0%.</t>
  </si>
  <si>
    <t>NbSec61α = 0.82x / 0.89x / 0.30x / 0.80x; NbSec61γ = 0.21x / 0.63x / 0.47x (48 h / 72 h / 96 h)</t>
  </si>
  <si>
    <t>Ssn6 Interacts with Polar Tube Protein 2 and Transcriptional Repressor for RNA Polymerase II: Insight into Its Involvement in the Biological Process of Microsporidium Nosema bombycis</t>
  </si>
  <si>
    <t>Wang, R., Chen, Y., Xu, S., Wei, E., He, P., Wang, Q., Zhang, Y., Tang, X., and Shen, Z. (2023). Ssn6 Interacts with Polar Tube Protein 2 and Transcriptional Repressor for RNA Polymerase II: Insight into Its Involvement in the Biological Process of Microsporidium Nosema bombycis. J. Fungi 9, 990. https://doi.org/10.3390/jof9100990.</t>
  </si>
  <si>
    <t>Nbssn6</t>
  </si>
  <si>
    <t>https://doi.org/10.3390/jof9100990</t>
  </si>
  <si>
    <t>nonsense RNA</t>
  </si>
  <si>
    <t>Nbtrrp2; Nbptp2</t>
  </si>
  <si>
    <t>Relative expression as % of control (qPCR): Nbssn6 24 h = 9.0%; 48 h = 19.0%; 72 h = 32.0%; 96 h = 53.0%. Nbtrrp2 off-target expression: 24 h = 36.0%; 48 h = 30.0%; 72 h = 14.0%; 96 h = 64.0%. Nbptp2 off-target expression: 24 h = 33.0%; 48 h = 37.0%; 72 h = 22.0%; 96 h = 165.0%. Beta-tubulin copies as % of control: 24 h = 7.0%; 48 h = 44.0%; 72 h = 23.0%; 96 h = 21.0%; 120 h = 80.0%.</t>
  </si>
  <si>
    <t>Nbssn6 = 0.09x / 0.19x / 0.32x / 0.53x; Nbtrrp2 = 0.36x / 0.30x / 0.14x / 0.64x; Nbptp2 = 0.33x / 0.37x / 0.22x / 1.65x</t>
  </si>
  <si>
    <t>Nbssn6 = 0.07x / 0.44x / 0.23x / 0.21x / 0.80x</t>
  </si>
  <si>
    <t>Ran</t>
  </si>
  <si>
    <t>Microsporidian Nosema bombycis secretes serine protease inhibitor to suppress host cell apoptosis via Caspase BmICE</t>
  </si>
  <si>
    <t>Ran, M., Bao, J., Li, B., Shi, Y., Yang, W., Meng, X., Chen, J., Wei, J., Long, M., Li, T., et al. (2025). Microsporidian Nosema bombycis secretes serine protease inhibitor to suppress host cell apoptosis via Caspase BmICE. PLOS Pathog. 21, e1012373. https://doi.org/10.1371/journal.ppat.1012373.</t>
  </si>
  <si>
    <t>Serine protease inhibitor (NbSPN14 / serpin-like factor)</t>
  </si>
  <si>
    <t>https://doi.org/10.1371/journal.ppat.1012373</t>
  </si>
  <si>
    <t>dsEGFP</t>
  </si>
  <si>
    <t>beta-tubulin; host apoptosis</t>
  </si>
  <si>
    <t>Relative expression as % of control (qPCR): 1 dpi = 37.0%; 3 dpi = 53.0%; 5 dpi = 67.0%. Beta-tubulin copies as % of control: 1 dpi = 110.0%; 3 dpi = 128.0%; 5 dpi = 57.0%. Host apoptosis also reported as a non-growth phenotype.</t>
  </si>
  <si>
    <t>NbSPN14 = 0.37x / 0.53x / 0.67x</t>
  </si>
  <si>
    <t>NbSPN14 = 1.10x / 1.28x / 0.57x</t>
  </si>
  <si>
    <t>Thepmanee</t>
  </si>
  <si>
    <t>Molecular and cellular characterization of four putative nucleotide transporters from the shrimp microsporidian Enterocytozoon hepatopenaei (EHP)</t>
  </si>
  <si>
    <t>Thepmanee, O., Munkongwongsiri, N., Prachumwat, A., Saksmerprome, V., Jitrakorn, S., Sritunyalucksana, K., Vanichviriyakit, R., Chanarat, S., Jaroenlak, P., and Itsathitphaisarn, O. (2023). Molecular and cellular characterization of four putative nucleotide transporters from the shrimp microsporidian Enterocytozoon hepatopenaei (EHP). Sci. Rep. 13, 20008. https://doi.org/10.1038/s41598-023-47114-8.</t>
  </si>
  <si>
    <t>Shrimp (in vivo cohabitation assay)</t>
  </si>
  <si>
    <t>EhNTT2</t>
  </si>
  <si>
    <t>https://doi.org/10.1038/s41598-023-47114-8</t>
  </si>
  <si>
    <t>PBS</t>
  </si>
  <si>
    <t>EhSWP1 copy-number ratio (dsRNA-EhNTT2 / PBS): day 5 = 2.00; day 10 = 0.25; day 14 = 0.045.</t>
  </si>
  <si>
    <t>EhSWP1 copies per 100 ng cDNA (PBS, dsRNA-EhNTT2, dsRNA/PBS): day 5 = 450, 900, 2.00; day 10 = 1,100, 280, 0.25; day 14 = 58,000, 2,600, 0.045.</t>
  </si>
  <si>
    <t>EhSWP1 normalized qPCR (×10^4 copies per 100 ng cDNA; PBS, dsRNA-EhNTT2, dsRNA/PBS): day 5 = 0.045, 0.090, 2.00; day 10 = 0.110, 0.028, 0.25; day 14 = 5.8, 0.26, 0.045.</t>
  </si>
  <si>
    <t>A novel ATP-binding cassette protein (NoboABCG1.3) plays a role in the proliferation of Nosema bombycis</t>
  </si>
  <si>
    <t>He, S., Zheng, S., Zhu, H., Hu, Y., Yu, B., Wei, J., Pan, G., Zhou, Z., and Li, C. (2024). A novel ATP-binding cassette protein (NoboABCG1.3) plays a role in the proliferation of Nosema bombycis. Parasitol. Res. 123, 413. https://doi.org/10.1007/s00436-024-08440-6.</t>
  </si>
  <si>
    <t>NoboABCG1.3</t>
  </si>
  <si>
    <t>https://doi.org/10.1007/s00436-024-08440-6</t>
  </si>
  <si>
    <t>Relative expression as % of control (qPCR): 3 d = 65.0%; 5 d = 58.0%. Beta-tubulin copies as % of control: 3 d = 64.0%; 5 d = 65.0%.</t>
  </si>
  <si>
    <t>NoboABCG1.3 = 0.65x / 0.58x</t>
  </si>
  <si>
    <t>NoboABCG1.3 = 0.64x / 0.65x</t>
  </si>
  <si>
    <t>Liu</t>
  </si>
  <si>
    <t>Silencing of EhAQP1, EhPTP2, and EhTK Genes in Ecytonucleospora Hepatopenaei Using RNA Interference: A Potential Strategy for Preventing and Treating EHP Infection in Shrimp</t>
  </si>
  <si>
    <t>Liu, T., Qiao, Y., Jiang, H., Cao, X., Cheng, J., Jiang, G., Sun, X., and Shen, H. (2025). Silencing of EhAQP1, EhPTP2, and EhTK Genes in Ecytonucleospora Hepatopenaei Using RNA Interference: A Potential Strategy for Preventing and Treating EHP Infection in Shrimp. Aquac. Res. 2025, 3226686. https://doi.org/10.1155/are/3226686.</t>
  </si>
  <si>
    <t>Shrimp (in vivo or parasite/shrimp assay)</t>
  </si>
  <si>
    <t>EhAQP1, EhPTP2, EhTK</t>
  </si>
  <si>
    <t>https://doi.org/10.1155/are/3226686</t>
  </si>
  <si>
    <t>control siRNA</t>
  </si>
  <si>
    <t>Target/NC expression fold difference (qPCR): EhAQP1 0h=1.00, 12h=0.40, 24h=0.09, 48h=0.29, 72h=0.57; EhPTP2 0h=1.00, 12h=1.73, 24h=0.04, 48h=1.29, 72h=1.00; EhTK 0h=1.00, 12h=1.07, 24h=0.35, 48h=0.63, 72h=0.17.</t>
  </si>
  <si>
    <t>Expression fold difference (siRNA-NC, target siRNA, target/NC). EhAQP1: 0h 0.56, 0.56, 1.00; 12h 0.43, 0.17, 0.40; 24h 0.22, 0.02, 0.09; 48h 0.41, 0.12, 0.29; 72h 0.30, 0.17, 0.57. EhPTP2: 0h 1.3, 1.3, 1.00; 12h 3.0, 5.2, 1.73; 24h 44, 1.8, 0.04; 48h 4.8, 6.2, 1.29; 72h 39, 39, 1.00. EhTK: 0h 1.4, 1.4, 1.00; 12h 1.4, 1.5, 1.07; 24h 1.3, 0.45, 0.35; 48h 0.60, 0.38, 0.63; 72h 1.5, 0.25, 0.17.</t>
  </si>
  <si>
    <t>Spore number per mL (siRNA-NC, target siRNA, target/NC). EhAQP1: 0h 2.1×10^8, 2.1×10^8, 1.00; 12h 1.2×10^8, 0.9×10^8, 0.75; 24h 0.8×10^8, 0.35×10^8, 0.44; 48h 1.2×10^8, 0.5×10^8, 0.42; 72h 2.2×10^8, 0.6×10^8, 0.27. EhPTP2: 0h 2.1×10^8, 2.1×10^8, 1.00; 12h 3.9×10^8, 2.4×10^8, 0.62; 24h 2.1×10^8, 2.0×10^8, 0.95; 48h 1.9×10^8, 0.3×10^8, 0.16; 72h 2.7×10^8, 3.6×10^8, 1.33. EhTK: 0h 2.1×10^8, 2.1×10^8, 1.00; 12h 1.6×10^8, 3.0×10^8, 1.88; 24h 0.8×10^8, 0.8×10^8, 1.00; 48h 2.1×10^8, 0.35×10^8, 0.17; 72h 0.6×10^8, 0.4×10^8, 0.67.</t>
  </si>
  <si>
    <t>Copy number of EHP per ng DNA (siRNA-NC, target siRNA, target/NC). EhAQP1: 0h 3800, 3800, 1.00; 12h 2200, 700, 0.32; 24h 1700, 1200, 0.71; 48h 3600, 900, 0.25; 72h 5600, 1000, 0.18. EhPTP2: 0h 3800, 3800, 1.00; 12h 6500, 3500, 0.54; 24h 4000, 3500, 0.88; 48h 3500, 900, 0.26; 72h 2400, 6700, 2.79. EhTK: 0h 3900, 3900, 1.00; 12h 900, 2500, 2.78; 24h 1100, 1000, 0.91; 48h 1400, 300, 0.21; 72h 450, 300, 0.67.</t>
  </si>
  <si>
    <t>Sar1 Interacts with Sec23/Sec24 and Sec13/Sec31 Complexes: Insight into Its Involvement in the Assembly of Coat Protein Complex II in the Microsporidian Nosema bombycis</t>
  </si>
  <si>
    <t>Sun, F., Wang, R., He, P., Wei, E., Wang, Q., Tang, X., Zhang, Y., Zhu, F., and Shen, Z. (2022). Sar1 Interacts with Sec23/Sec24 and Sec13/Sec31 Complexes: Insight into Its Involvement in the Assembly of Coat Protein Complex II in the Microsporidian Nosema bombycis. Microbiol. Spectr. 10, e00719-22. https://doi.org/10.1128/spectrum.00719-22.</t>
  </si>
  <si>
    <t>NbSar1</t>
  </si>
  <si>
    <t>https://doi.org/10.1128/spectrum.00719-22</t>
  </si>
  <si>
    <t>nonsense siRNA</t>
  </si>
  <si>
    <t>NbSec23-1; NbSec24-1; NbSec24-2; NbSec13; NbSec31-1; NbSec31-2</t>
  </si>
  <si>
    <t>Relative expression as % of control (qPCR, image-based extraction): 24 h = 48.4%; 48 h = 23.5%; 72 h = 71.6%; 96 h = 3402.0%.</t>
  </si>
  <si>
    <t>Fold change vs control by gene and timepoint (24 h/48 h/72 h/96 h): NbSar1 = 0.35x/0.06x/0.38x/12.0x; NbSec24-1 = 5.2x/3.5x/3.0x/58x; NbSec24-2 = 4.5x/5.1x/2.3x/40x; NbSec13 = 5.5x/1.5x/1.0x/4.5x; NbSec23-1 = 0.85x/0.80x/0.82x/8.6x; NbSec31-1 = 0.44x/0.26x/0.65x/126x; NbSec31-2 = 0.36x/0.64x/0.94x/22x.</t>
  </si>
  <si>
    <t>Bao</t>
  </si>
  <si>
    <t>Nosema bombycis suppresses host hemolymph melanization through secreted serpin 6 inhibiting the prophenoloxidase activation cascade</t>
  </si>
  <si>
    <t>Bao, J., Liu, L., An, Y., Ran, M., Ni, W., Chen, J., Wei, J., Li, T., Pan, G., and Zhou, Z. (2019). Nosema bombycis suppresses host hemolymph melanization through secreted serpin 6 inhibiting the prophenoloxidase activation cascade. J. Invertebr. Pathol. 168, 107260. https://doi.org/10.1016/j.jip.2019.107260.</t>
  </si>
  <si>
    <t>Bombyx mori / infected silkworm / hemolymph context</t>
  </si>
  <si>
    <t>NbSPN6</t>
  </si>
  <si>
    <t>https://doi.org/10.1016/j.jip.2019.107260</t>
  </si>
  <si>
    <t>ddH2O</t>
  </si>
  <si>
    <t>beta-tubulin; host prophenoloxidase activation</t>
  </si>
  <si>
    <t>Relative expression as % of control (qPCR): 3 dpi = 68.0%; 4 dpi = 33.0%; 5 dpi = 76.0%; 6 dpi = 48.0%. Beta-tubulin copies as % of control: 3 dpi = 100.0%; 4 dpi = 96.0%; 5 dpi = 37.0%; 6 dpi = 53.0%. Host prophenoloxidase activation also reported as a non-growth phenotype.</t>
  </si>
  <si>
    <t>NbSPN6 = 0.68x / 0.33x / 0.76x / 0.48x</t>
  </si>
  <si>
    <t>NbSPN6 = 1.00x / 0.96x / 0.37x / 0.53x</t>
  </si>
  <si>
    <t>Jiang</t>
  </si>
  <si>
    <t>Expression and Functional Characterisation of EhSWP26 in Ecytonucleospora hepatopenaei: Insights From RNA Interference and Subcellular Localisation Analyses</t>
  </si>
  <si>
    <t>Jiang, H., Cao, X., Qiao, Y., Liu, T., Cheng, J., Jiang, G., Fan, X., Wang, H., Fu, K., and Shen, H. (2026). Expression and Functional Characterisation of EhSWP26 in Ecytonucleospora hepatopenaei: Insights From RNA Interference and Subcellular Localisation Analyses. J. Fish Dis. n/a, e70161. https://doi.org/10.1111/jfd.70161.</t>
  </si>
  <si>
    <t>Shrimp / EHP infection system</t>
  </si>
  <si>
    <t>EhSWP26</t>
  </si>
  <si>
    <t>https://doi.org/10.1111/jfd.70161</t>
  </si>
  <si>
    <t>siRNA-NC-C.elegans</t>
  </si>
  <si>
    <t>Relative expression as % of control (qPCR): EhSWP26 0 h = 100.0%; 12 h = 125.0%; 24 h = 0.6%; 48 h = 8.5%; 72 h = 3.3%; 96 h = 13.0%. ssRNA copy-number ratio as % of control: 0 h = 102.0%; 12 h = 252.0%; 24 h = 51.0%; 48 h = 59.0%; 72 h = 75.0%; 96 h = 225.0%.</t>
  </si>
  <si>
    <t>EhSWP26 = 1.00x / 1.25x / 0.006x / 0.085x / 0.033x / 0.13x (0 h / 12 h / 24 h / 48 h / 72 h / 96 h)</t>
  </si>
  <si>
    <t>The unique transmembrane protein NbTMP2 (NBO_555g0004) of Nosema bombycis contributes to host infection</t>
  </si>
  <si>
    <t>He, S., Zheng, S., Hu, Y., Yang, Z., Zhu, H., Yu, B., Wei, J., Pan, G., Zhou, Z., and Li, C. (2025). The unique transmembrane protein NbTMP2 (NBO_555g0004) of Nosema bombycis contributes to host infection. J. Invertebr. Pathol. 211, 108320. https://doi.org/10.1016/j.jip.2025.108320.</t>
  </si>
  <si>
    <t>NbTMP2</t>
  </si>
  <si>
    <t>https://doi.org/10.1016/j.jip.2025.108320</t>
  </si>
  <si>
    <t>control cells</t>
  </si>
  <si>
    <t>Relative expression as % of control (qPCR): NbTMP2 3 dpi = 37.0%; 5 dpi = 43.0%. Beta-tubulin copies as % of control: 3 dpi = 55.0%; 5 dpi = 46.0%.</t>
  </si>
  <si>
    <t>NbTMP2 = 0.37x / 0.43x (3 dpi / 5 dpi)</t>
  </si>
  <si>
    <t>NbTMP2 = 0.55x / 0.46x (3 dpi / 5 dpi)</t>
  </si>
  <si>
    <t>Xu</t>
  </si>
  <si>
    <t>Glucose-regulated protein 78 regulates the subunit-folding of the CCT complex by modulating gene expression and protein interaction in the microsporidian Nosema bombycis</t>
  </si>
  <si>
    <t>Xu, S., Xiao, S., Qi, J., Yao, M., He, P., Wang, R., Wei, E., Wang, Q., Zhang, Y., Tang, X., et al. (2025). Glucose-regulated protein 78 regulates the subunit-folding of the CCT complex by modulating gene expression and protein interaction in the microsporidian Nosema bombycis. Int. J. Biol. Macromol. 290, 138971. https://doi.org/10.1016/j.ijbiomac.2024.138971.</t>
  </si>
  <si>
    <t>NbBip (GRP78); NbCCTα; NbCCTη</t>
  </si>
  <si>
    <t>https://doi.org/10.1016/j.ijbiomac.2024.138971</t>
  </si>
  <si>
    <t>siRNA-nonsense</t>
  </si>
  <si>
    <t>NbCCTη; NbCCTα; NbCCTε</t>
  </si>
  <si>
    <t>Relative expression as % of control (qPCR): NbBip 24 h = 16000.0%; 48 h = 2.0%; 72 h = 1.0%; 96 h = 0.005%. NbCCTη after NbBip RNAi 24 h = 1700.0%; 48 h = 15.0%; 72 h = 0.3%; 96 h = 0.0016%. NbCCTα after NbBip RNAi 24 h = 1000.0%; 48 h = 17.0%; 72 h = 2.7%; 96 h = 0.0093%. NbCCTε after NbBip RNAi 24 h = 500.0%; 48 h = 24.0%; 72 h = 3.2%; 96 h = 69.0%. Approximate ssRNA expression as % of control after NbBip RNAi: 24 h = 118.0%; 48 h = 52.0%; 72 h = 120.0%; 96 h = 118.0%. Beta-tubulin copies as % of control: NbCCTα RNAi 24 h = 200.0%; 48 h = 1.0%; 72 h = 3.0%; 96 h = 78.0%. NbCCTη RNAi 24 h = 220.0%; 48 h = 1.0%; 72 h = 12.0%; 96 h = 65.0%.</t>
  </si>
  <si>
    <t>NbBip = 160x / 0.02x / 0.010x / 0.00005x; NbCCTη (after NbBip RNAi) = 17x / 0.15x / 0.003x / 0.000016x; NbCCTα (after NbBip RNAi) = 10x / 0.17x / 0.027x / 0.000093x; NbCCTε = 5x / 0.24x / 0.032x / 0.69x</t>
  </si>
  <si>
    <t>NbCCTα RNAi = 2.0x / 0.010x / 0.030x / 0.78x; NbCCTη RNAi = 2.2x / 0.010x / 0.12x / 0.65x (24 h / 48 h / 72 h / 96 h)</t>
  </si>
  <si>
    <t>Pan</t>
  </si>
  <si>
    <t>Bacterium-Expressed dsRNA Downregulates Microsporidia Nosema bombycis Gene Expression</t>
  </si>
  <si>
    <t>Pan, Q., Wang, L., Dang, X., Ma, Z., Zhang, X., Chen, S., Zhou, Z., and Xu, J. (2017). Bacterium-Expressed dsRNA Downregulates Microsporidia Nosema bombycis Gene Expression. J. Eukaryot. Microbiol. 64, 278–281. https://doi.org/10.1111/jeu.12346.</t>
  </si>
  <si>
    <t>Bombyx mori / infected silkworm system</t>
  </si>
  <si>
    <t>NbAAC</t>
  </si>
  <si>
    <t>https://doi.org/10.1111/jeu.12346</t>
  </si>
  <si>
    <t>GFP; NACL</t>
  </si>
  <si>
    <t>Shang</t>
  </si>
  <si>
    <t>Identification and localization of Nup170 in the microsporidian Nosema bombycis</t>
  </si>
  <si>
    <t>Shang, R., Zhu, F., Li, Y., He, P., Qi, J., Chen, Y., Sun, F., Zhang, Y., Wang, Q., and Shen, Z. (2021). Identification and localization of Nup170 in the microsporidian Nosema bombycis. Parasitol. Res. 120, 2125–2134. https://doi.org/10.1007/s00436-021-07129-4.</t>
  </si>
  <si>
    <t>NbNup170</t>
  </si>
  <si>
    <t>https://doi.org/10.1007/s00436-021-07129-4</t>
  </si>
  <si>
    <t>synthetic siRNA</t>
  </si>
  <si>
    <t>The Function of Different Subunits of the Molecular Chaperone CCT in the Microsporidium Nosema bombycis: NbCCTζ Interacts with NbCCTα</t>
  </si>
  <si>
    <t>Xu, S., Chen, Y., Qi, J., Wang, R., Wei, E., Wang, Q., Zhang, Y., Tang, X., and Shen, Z. (2024). The Function of Different Subunits of the Molecular Chaperone CCT in the Microsporidium Nosema bombycis: NbCCTζ Interacts with NbCCTα. J. Fungi 10, 229. https://doi.org/10.3390/jof10030229.</t>
  </si>
  <si>
    <t>NbCCTζ</t>
  </si>
  <si>
    <t>https://doi.org/10.3390/jof10030229</t>
  </si>
  <si>
    <t>negative control siRNA</t>
  </si>
  <si>
    <t>NbCCTα</t>
  </si>
  <si>
    <t>Relative expression as % of control (qPCR): NbCCTζ 24 h = 21.0%; 48 h = 32.0%; 72 h = 82.0%; 96 h = 96.0%. NbCCTα off-target expression: 24 h = 6.0%; 48 h = 406.0%; 72 h = 37.0%; 96 h = 58.0%. Approximate ssRNA expression as % of control: 24 h = 54.0%; 48 h = 69.0%; 72 h = 33.0%; 96 h = 39.0%.</t>
  </si>
  <si>
    <t>NbCCTζ = 0.21x / 0.32x / 0.82x / 0.96x; NbCCTα = 0.06x / 4.06x / 0.37x / 0.58x (24 h / 48 h / 72 h / 96 h)</t>
  </si>
  <si>
    <t>Liao</t>
  </si>
  <si>
    <t>Transcription factor Ste12 regulates the spore maturation and proliferation of silkworm microsporidium Nosema bombycis</t>
  </si>
  <si>
    <t>Liao, H., Zhou, B., Zhang, Y., Hong, L., Chen, Y., Xie, Z., Lv, Q., Wei, J., Li, T., Pan, G., et al. (2025). Transcription factor Ste12 regulates the spore maturation and proliferation of silkworm microsporidium Nosema bombycis. Pest Manag. Sci. 81, 3846–3857. https://doi.org/10.1002/ps.8751.</t>
  </si>
  <si>
    <t>NbSte12</t>
  </si>
  <si>
    <t>https://doi.org/10.1002/ps.8751</t>
  </si>
  <si>
    <t>dsRNA-DsRed</t>
  </si>
  <si>
    <t>Relative expression as % of control (qPCR): NbSte12 3 dpi = 14.0%; 5 dpi = 24.0%. Beta-tubulin copies as % of control: 3 dpi = 39.0%; 5 dpi = 25.0%. Spore wall thickness and spore germination also reported as non-growth phenotypes.</t>
  </si>
  <si>
    <t>NbSte12 = 0.14x / 0.24x (3 dpi / 5 dpi)</t>
  </si>
  <si>
    <t>NbSte12 = 0.39x / 0.25x (3 dpi / 5 dpi)</t>
  </si>
  <si>
    <t>Dong</t>
  </si>
  <si>
    <t>Functional characterization of trehalases 1, 2, and 4 in Nosema bombycis (microsporidia)</t>
  </si>
  <si>
    <t>Dong, C., Ma, M., Xue, R., Ling, M., Shi, J., Wang, Q., Shen, Z., Qian, H., and Zhang, Y. (2025). Functional characterization of trehalases 1, 2, and 4 in Nosema bombycis (microsporidia). Microb. Pathog. 208, 107986. https://doi.org/10.1016/j.micpath.2025.107986.</t>
  </si>
  <si>
    <t>NbTre1; NbTre2</t>
  </si>
  <si>
    <t>https://doi.org/10.1016/j.micpath.2025.107986</t>
  </si>
  <si>
    <t>Relative expression as % of control (qPCR): NbTre1 24 h = 75.0%; 48 h = 59.0%; 72 h = 45.0%; 96 h = 31.0%. NbTre2 24 h = 65.0%; 48 h = 63.0%; 72 h = 39.0%; 96 h = 39.0%. ssRNA as % of control: NbTre1 24 h = 95.0%; 48 h = 55.0%; 72 h = 16.0%; 96 h = 12.0%. NbTre2 24 h = 90.0%; 48 h = 75.0%; 72 h = 52.0%; 96 h = 29.0%.</t>
  </si>
  <si>
    <t>NbTre1 = 0.75x / 0.59x / 0.45x / 0.31x; NbTre2 = 0.65x / 0.63x / 0.39x / 0.39x</t>
  </si>
  <si>
    <t>NbTre1 = 0.95x / 0.55x / 0.16x / 0.12x; NbTre2 = 0.90x / 0.75x / 0.52x / 0.29x</t>
  </si>
  <si>
    <t>Han</t>
  </si>
  <si>
    <t>A miR-JL-5 inhibitor modulates the proliferation of Nosema ceranae in Apis cerana</t>
  </si>
  <si>
    <t>Han, X., Xiao, J.H., Yan, W.Y., He, X.J., and Zeng, Z.J. (2025). A miR-JL-5 inhibitor modulates the proliferation of Nosema ceranae in Apis cerana. Front. Insect Sci. 5. https://doi.org/10.3389/finsc.2025.1583941.</t>
  </si>
  <si>
    <t>Apis cerana (adult bees, in vivo)</t>
  </si>
  <si>
    <t>Parasite miR-JL-5</t>
  </si>
  <si>
    <t>https://doi.org/10.3389/finsc.2025.1583941</t>
  </si>
  <si>
    <t>Dolgikh</t>
  </si>
  <si>
    <t>The efficacy of RNA interference against the microsporidia Vairimorpha ceranae in honeybees Apis mellifera. Can it be enhanced to the level of antiviral and anti-mite activity shown for the Remebee-I and Vadescana dsRNA?</t>
  </si>
  <si>
    <t>Dolgikh, V.V., Ignatieva, A.N., Rumiantseva, A.S., Fadeev, R.R., Timofeev, S.A., and Bayazyt, K.-D.K. (2026). The efficacy of RNA interference against the microsporidia Vairimorpha ceranae in honeybees Apis mellifera. Can it be enhanced to the level of antiviral and anti-mite activity shown for the Remebee-I and Vadescana dsRNA? Protistology 20, 3–18.</t>
  </si>
  <si>
    <t>Vc ligase; Vc delta sub. of DNA pol.; Vc merged chimeric fragments; Vc PTP3 + CS (1:2 ratio); Vc PTP3; Vc SWP8; Vc helicase; Vc epsilon sub. of DNA pol.; Vc topoisomerase II; Vc PTP3 + PEI (1:2 ratio)</t>
  </si>
  <si>
    <t>https://www.zin.ru/journals/protistology/num20_1/num20_1.html</t>
  </si>
  <si>
    <t>Normalized spore ratios vs untreated ranged from 0.475x to 1.093x across multiple V. ceranae dsRNA constructs/conditions (see Quant_Timepoint_Data sheet).</t>
  </si>
  <si>
    <t>Multiple constructs, single-measurement spore ratios vs untreated; see Quant_Timepoint_Data sheet.</t>
  </si>
  <si>
    <t>Paper_Ref_No</t>
  </si>
  <si>
    <t>Paper_ID</t>
  </si>
  <si>
    <t>Short_Title</t>
  </si>
  <si>
    <t>Gene</t>
  </si>
  <si>
    <t>Is_On_Target</t>
  </si>
  <si>
    <t>Time_h</t>
  </si>
  <si>
    <t>Measurement_Type</t>
  </si>
  <si>
    <t>Assay</t>
  </si>
  <si>
    <t>Control_Value</t>
  </si>
  <si>
    <t>Target_Value</t>
  </si>
  <si>
    <t>Target_over_Control_Ratio</t>
  </si>
  <si>
    <t>Percent_of_Control</t>
  </si>
  <si>
    <t>Units</t>
  </si>
  <si>
    <t>Source_Note</t>
  </si>
  <si>
    <t>10.1155/are/3226686</t>
  </si>
  <si>
    <t>Liu et al. 2025 (EhAQP1/EhPTP2/EhTK)</t>
  </si>
  <si>
    <t>Ecytonucleospora hepatopenaei</t>
  </si>
  <si>
    <t>EhAQP1</t>
  </si>
  <si>
    <t>mRNA_expression</t>
  </si>
  <si>
    <t>relative expression</t>
  </si>
  <si>
    <t>Liu et al. 2025: expression fold difference</t>
  </si>
  <si>
    <t>EhPTP2</t>
  </si>
  <si>
    <t>EhTK</t>
  </si>
  <si>
    <t>spore_number</t>
  </si>
  <si>
    <t>spore number per mL</t>
  </si>
  <si>
    <t>spores per mL</t>
  </si>
  <si>
    <t>Liu et al. 2025: spore number per mL</t>
  </si>
  <si>
    <t>ssRNA_copy_number</t>
  </si>
  <si>
    <t>Copy number of EHP per ng DNA</t>
  </si>
  <si>
    <t>copies per ng DNA</t>
  </si>
  <si>
    <t>Liu et al. 2025: copy number of EHP per ng DNA</t>
  </si>
  <si>
    <t>10.1128/spectrum.00719-22</t>
  </si>
  <si>
    <t>Sun et al. 2022 (NbSar1)</t>
  </si>
  <si>
    <t>fold vs control</t>
  </si>
  <si>
    <t>Sun et al. 2022: image-based extraction from figure</t>
  </si>
  <si>
    <t>NbSec24-1</t>
  </si>
  <si>
    <t>NbSec24-2</t>
  </si>
  <si>
    <t>NbSec13</t>
  </si>
  <si>
    <t>NbSec23-1</t>
  </si>
  <si>
    <t>NbSec31-1</t>
  </si>
  <si>
    <t>NbSec31-2</t>
  </si>
  <si>
    <t>ssRNA_relative_expression</t>
  </si>
  <si>
    <t>% of control</t>
  </si>
  <si>
    <t>10.1007/s00436-024-08440-6</t>
  </si>
  <si>
    <t>He et al. 2024 (NoboABCG1.3)</t>
  </si>
  <si>
    <t>Panel a</t>
  </si>
  <si>
    <t>beta_tubulin_copy_number</t>
  </si>
  <si>
    <t>copies</t>
  </si>
  <si>
    <t>Panel b</t>
  </si>
  <si>
    <t>10.1038/s41598-023-47114-8</t>
  </si>
  <si>
    <t>Thepmanee et al. 2023 (EhNTT2)</t>
  </si>
  <si>
    <t>EhSWP1 qPCR</t>
  </si>
  <si>
    <t>×10^4 copies/100 ng cDNA</t>
  </si>
  <si>
    <t>Figure 8b / user-supplied values; day 5 post-cohabitation</t>
  </si>
  <si>
    <t>Figure 8b / user-supplied values; day 10 post-cohabitation</t>
  </si>
  <si>
    <t>Figure 8b / user-supplied values; day 14 post-cohabitation</t>
  </si>
  <si>
    <t>copies/100 ng cDNA</t>
  </si>
  <si>
    <t>10.1371/journal.ppat.1012373</t>
  </si>
  <si>
    <t>Ran et al. 2025 (NbSPN14)</t>
  </si>
  <si>
    <t>NbSPN14</t>
  </si>
  <si>
    <t>qPCR; user-supplied values</t>
  </si>
  <si>
    <t>10.1016/j.jip.2019.107260</t>
  </si>
  <si>
    <t>Bao et al. 2019 (NbSPN6)</t>
  </si>
  <si>
    <t>Panel A — qPCR; user-supplied values</t>
  </si>
  <si>
    <t>10.3390/jof9100990</t>
  </si>
  <si>
    <t>Wang et al. 2023 (Nbssn6)</t>
  </si>
  <si>
    <t>Panel A — NbSsn6 RNAi effect on NbSsn6 expression; user-supplied values</t>
  </si>
  <si>
    <t>Nbtrrp2</t>
  </si>
  <si>
    <t>Panel B — NbSsn6 RNAi effect on NbTrrp2 expression; user-supplied values</t>
  </si>
  <si>
    <t>Nbptp2</t>
  </si>
  <si>
    <t>Approximate values for the effect of NbSsn6 on NbPtp2 expression; user-supplied values</t>
  </si>
  <si>
    <t>NbSsn6 RNAi on Nb-β-tubulin copy number from figure; user-supplied values</t>
  </si>
  <si>
    <t>10.1016/j.gene.2022.146971</t>
  </si>
  <si>
    <t>Sun et al. 2023 (NbSec61α)</t>
  </si>
  <si>
    <t>Panel A — NbSec61α RNAi on NbSec61α expression; user-supplied values</t>
  </si>
  <si>
    <t>Panel B — NbSec61α RNAi on NbSec61γ expression; user-supplied values</t>
  </si>
  <si>
    <t>Panel C — NbSec61α RNAi on ssRNA expression; user-supplied values</t>
  </si>
  <si>
    <t>10.1111/jfd.70161</t>
  </si>
  <si>
    <t>Jiang et al. 2026 (EhSWP26)</t>
  </si>
  <si>
    <t>Panel A — EhSWP26 RNAi on EhSWP26 expression; user-supplied values</t>
  </si>
  <si>
    <t>Panel B — EhSWP26 RNAi on ssRNA; user-supplied values</t>
  </si>
  <si>
    <t>10.1016/j.jip.2025.108320</t>
  </si>
  <si>
    <t>He et al. 2025 (NbTMP2)</t>
  </si>
  <si>
    <t>Panel C — NbTMP2 RNAi on NbTMP2 mRNA expression; user-supplied values</t>
  </si>
  <si>
    <t>10.1016/j.ijbiomac.2024.138971</t>
  </si>
  <si>
    <t>Xu et al. 2025 (NbBip/NbCCTα/NbCCTη)</t>
  </si>
  <si>
    <t>NbBip</t>
  </si>
  <si>
    <t>NbBip RNAi on NbBip expression; user-supplied values</t>
  </si>
  <si>
    <t>NbCCTη</t>
  </si>
  <si>
    <t>NbBip RNAi on NbCCTη expression; user-supplied values</t>
  </si>
  <si>
    <t>NbBip RNAi on NbCCTα expression; user-supplied values</t>
  </si>
  <si>
    <t>NbCCTε</t>
  </si>
  <si>
    <t>NbBip RNAi on NbCCTε expression; user-supplied values</t>
  </si>
  <si>
    <t>Approximate values extracted from panel A for NbBip RNAi on ssRNA expression; user-supplied values</t>
  </si>
  <si>
    <t>normalized copies (NC=1)</t>
  </si>
  <si>
    <t>10.3390/jof10030229</t>
  </si>
  <si>
    <t>Xu et al. 2024 (NbCCTζ)</t>
  </si>
  <si>
    <t>NbCCTzeta RNAi on NbCCTζ expression; user-supplied values</t>
  </si>
  <si>
    <t>NbCCTzeta RNAi on NbCCTα expression; user-supplied values</t>
  </si>
  <si>
    <t>Approximate values extracted for NbCCTzeta RNAi on ssRNA expression; user-supplied values</t>
  </si>
  <si>
    <t>10.1002/ps.8751</t>
  </si>
  <si>
    <t>Liao et al. 2025 (NbSte12)</t>
  </si>
  <si>
    <t>NbSte12 RNAi on NbSte12 expression; user-supplied values</t>
  </si>
  <si>
    <t>NbSte12 RNAi on β-tubulin copies; user-supplied values</t>
  </si>
  <si>
    <t>10.1016/j.micpath.2025.107986</t>
  </si>
  <si>
    <t>Dong et al. 2025 (NbTre1/NbTre2)</t>
  </si>
  <si>
    <t>NbTre1</t>
  </si>
  <si>
    <t>Panel A — NbTre1 RNAi on NbTre1 expression; user-supplied values</t>
  </si>
  <si>
    <t>NbTre2</t>
  </si>
  <si>
    <t>Panel B — NbTre2 RNAi on NbTre2 expression; user-supplied values</t>
  </si>
  <si>
    <t>Panel A — NbTre1 RNAi on ssRNA; user-supplied values</t>
  </si>
  <si>
    <t>Panel B — NbTre2 RNAi on ssRNA; user-supplied values</t>
  </si>
  <si>
    <t>Dolgikh et al. 2026 (V. ceranae dsRNA efficacy)</t>
  </si>
  <si>
    <t>Vc ligase (chimeric, 2 µg/ml)</t>
  </si>
  <si>
    <t>normalized spores (untreated=1)</t>
  </si>
  <si>
    <t>Vc ligase (chimeric, 2 µg/ml); spore ratio vs untreated; user-supplied values</t>
  </si>
  <si>
    <t>Vc delta sub. of DNA pol. (chimeric, 2 µg/ml)</t>
  </si>
  <si>
    <t>Vc delta sub. of DNA pol. (chimeric, 2 µg/ml); spore ratio vs untreated; user-supplied values</t>
  </si>
  <si>
    <t>Vc delta sub. of DNA pol. (chimeric, 20 µg/ml)</t>
  </si>
  <si>
    <t>Vc delta sub. of DNA pol. (chimeric, 20 µg/ml); spore ratio vs untreated; user-supplied values</t>
  </si>
  <si>
    <t>Vc ligase (chimeric, 20 µg/ml)</t>
  </si>
  <si>
    <t>Vc ligase (chimeric, 20 µg/ml); spore ratio vs untreated; user-supplied values</t>
  </si>
  <si>
    <t>Vc merged chimeric fragments (chimeric, 20 µg/ml)</t>
  </si>
  <si>
    <t>Vc merged chimeric fragments (chimeric, 20 µg/ml); spore ratio vs untreated; user-supplied values</t>
  </si>
  <si>
    <t>Vc PTP3 + CS (1:2 ratio) (original, 1 µg/ml)</t>
  </si>
  <si>
    <t>Vc PTP3 + CS (1:2 ratio) (original, 1 µg/ml); spore ratio vs untreated; user-supplied values</t>
  </si>
  <si>
    <t>Vc delta sub. of DNA pol. (original, 2 µg/ml)</t>
  </si>
  <si>
    <t>Vc delta sub. of DNA pol. (original, 2 µg/ml); spore ratio vs untreated; user-supplied values</t>
  </si>
  <si>
    <t>Vc PTP3 (original, 1 µg/ml)</t>
  </si>
  <si>
    <t>Vc PTP3 (original, 1 µg/ml); spore ratio vs untreated; user-supplied values</t>
  </si>
  <si>
    <t>Vc SWP8 (original, 2 µg/ml)</t>
  </si>
  <si>
    <t>Vc SWP8 (original, 2 µg/ml); spore ratio vs untreated; user-supplied values</t>
  </si>
  <si>
    <t>Vc helicase (chimeric, 20 µg/ml)</t>
  </si>
  <si>
    <t>Vc helicase (chimeric, 20 µg/ml); spore ratio vs untreated; user-supplied values</t>
  </si>
  <si>
    <t>Vc epsilon sub. of DNA pol. (chimeric, 20 µg/ml)</t>
  </si>
  <si>
    <t>Vc epsilon sub. of DNA pol. (chimeric, 20 µg/ml); spore ratio vs untreated; user-supplied values</t>
  </si>
  <si>
    <t>Vc helicase (original, 20 µg/ml)</t>
  </si>
  <si>
    <t>Vc helicase (original, 20 µg/ml); spore ratio vs untreated; user-supplied values</t>
  </si>
  <si>
    <t>Vc ligase (original, 20 µg/ml)</t>
  </si>
  <si>
    <t>Vc ligase (original, 20 µg/ml); spore ratio vs untreated; user-supplied values</t>
  </si>
  <si>
    <t>Vc topoisomerase II (chimeric, 20 µg/ml)</t>
  </si>
  <si>
    <t>Vc topoisomerase II (chimeric, 20 µg/ml); spore ratio vs untreated; user-supplied values</t>
  </si>
  <si>
    <t>Vc SWP8 (original, 20 µg/ml)</t>
  </si>
  <si>
    <t>Vc SWP8 (original, 20 µg/ml); spore ratio vs untreated; user-supplied values</t>
  </si>
  <si>
    <t>Vc PTP3 + PEI (1:2 ratio) (original, 1 µg/ml)</t>
  </si>
  <si>
    <t>Vc PTP3 + PEI (1:2 ratio) (original, 1 µg/ml); spore ratio vs untreated; user-supplied values</t>
  </si>
  <si>
    <t>Vc PTP3 (original, 20 µg/ml)</t>
  </si>
  <si>
    <t>Vc PTP3 (original, 20 µg/ml); spore ratio vs untreated; user-supplied values</t>
  </si>
  <si>
    <t>Vc epsilon sub. of DNA pol. (original, 20 µg/ml)</t>
  </si>
  <si>
    <t>Vc epsilon sub. of DNA pol. (original, 20 µg/ml); spore ratio vs untreated; user-supplied values</t>
  </si>
  <si>
    <t>Vc topoisomerase II (original, 20 µg/ml)</t>
  </si>
  <si>
    <t>Vc topoisomerase II (original, 20 µg/ml); spore ratio vs untreated; user-supplied values</t>
  </si>
  <si>
    <t>Vc delta sub. of DNA pol. (original, 20 µg/ml)</t>
  </si>
  <si>
    <t>Vc delta sub. of DNA pol. (original, 20 µg/ml); spore ratio vs untreated; user-supplied values</t>
  </si>
  <si>
    <t>10.1016/j.synbio.2024.07.003</t>
  </si>
  <si>
    <t>Qi et al. 2024 (thioredoxin reductase)</t>
  </si>
  <si>
    <t>spores/bee</t>
  </si>
  <si>
    <t>spores per bee</t>
  </si>
  <si>
    <t>Spores/bee; user-supplied values</t>
  </si>
  <si>
    <t>Thioredoxin reductase qPCR; user-supplied values</t>
  </si>
  <si>
    <t>10.1111/imb.12534</t>
  </si>
  <si>
    <t>Huang et al. 2019 (dicer)</t>
  </si>
  <si>
    <t>spore load</t>
  </si>
  <si>
    <t>relative spore load</t>
  </si>
  <si>
    <t>dicer RNAi on spores; user-supplied values</t>
  </si>
  <si>
    <t>10.1038/s41467-023-38498-2</t>
  </si>
  <si>
    <t>Lang et al. 2023 (GPx/TrxR/γGCS/GS/TPx)</t>
  </si>
  <si>
    <t>GPx-1</t>
  </si>
  <si>
    <t>Lang et al. 2023 fig. 4b–g mRNA expression</t>
  </si>
  <si>
    <t>GPx-2</t>
  </si>
  <si>
    <t>γGCS</t>
  </si>
  <si>
    <t>GS</t>
  </si>
  <si>
    <t>TrxR</t>
  </si>
  <si>
    <t>TPx</t>
  </si>
  <si>
    <t>spores/gut</t>
  </si>
  <si>
    <t>normalized spores/gut (control=1)</t>
  </si>
  <si>
    <t>Lang et al. 2023 fig. 4h spores/gut ratio vs control</t>
  </si>
  <si>
    <t>ssRNA/qPCR</t>
  </si>
  <si>
    <t>normalized ssRNA qPCR (control=1)</t>
  </si>
  <si>
    <t>Lang et al. 2023 fig. 4i ssRNA/qPCR ratio vs control</t>
  </si>
  <si>
    <t>10.1073/pnas.2220922120</t>
  </si>
  <si>
    <t>Huang et al. 2023 (SSP_plus_PTP1)</t>
  </si>
  <si>
    <t>approx. spore number (back-transformed)</t>
  </si>
  <si>
    <t>approx. spores (back-transformed from log2 median)</t>
  </si>
  <si>
    <t>Approximate values from Huang et al. 2023 PNAS spore-load plot; control and RNAi medians back-transformed from log2 values</t>
  </si>
  <si>
    <t>10.1186/s40538-025-00831-w</t>
  </si>
  <si>
    <t>Lim et al. 2025 (V. ceranae target screen)</t>
  </si>
  <si>
    <t>metap2</t>
  </si>
  <si>
    <t>16S rRNA copies</t>
  </si>
  <si>
    <t>relative 16S rRNA copies</t>
  </si>
  <si>
    <t>Lim et al. 2025 relative 16S rRNA copies vs GFP control</t>
  </si>
  <si>
    <t>spp</t>
  </si>
  <si>
    <t>spm</t>
  </si>
  <si>
    <t>hnf3</t>
  </si>
  <si>
    <t>swp30</t>
  </si>
  <si>
    <t>swp-pre.</t>
  </si>
  <si>
    <t>tpx</t>
  </si>
  <si>
    <t>sar1</t>
  </si>
  <si>
    <t>cdc48</t>
  </si>
  <si>
    <t>dna-pkcs</t>
  </si>
  <si>
    <t>swp25</t>
  </si>
  <si>
    <t>swp12</t>
  </si>
  <si>
    <t>fnr1</t>
  </si>
  <si>
    <t>fnr2</t>
  </si>
  <si>
    <t>NFW control</t>
  </si>
  <si>
    <t>Lim et al. 2025 target-gene mRNA expression after RNAi</t>
  </si>
  <si>
    <t>Lim et al. 2025 swp25 RNAi spore load; control inferred from target value and reported ratio</t>
  </si>
  <si>
    <t>10.1007/s13592-024-01078-4</t>
  </si>
  <si>
    <t>da Cruz Souza et al. 2024 (endochitinase)</t>
  </si>
  <si>
    <t>endochitinase</t>
  </si>
  <si>
    <t>da Cruz Souza et al. 2024 endochitinase RNAi on spore number</t>
  </si>
  <si>
    <t>10.1038/s41598-024-55400-2</t>
  </si>
  <si>
    <t>Yuanlae et al. 2024 (EhPtp2)</t>
  </si>
  <si>
    <t>Yuanlae et al. 2024 phenotype marker EhSWP1 after EhPtp2 RNAi</t>
  </si>
  <si>
    <t>10.1007/s00436-023-08082-0</t>
  </si>
  <si>
    <t>Ma et al. 2023 (NbTre3)</t>
  </si>
  <si>
    <t>NbTre3 RNAi on NbTre3 mRNA expression; user specified siRNA-53 only</t>
  </si>
  <si>
    <t>NbTre3 RNAi on ssRNA; user specified siRNA-53 only</t>
  </si>
  <si>
    <t>10.3390/microorganisms9030505</t>
  </si>
  <si>
    <t>He et al. 2021 (SWP8/SWP12)</t>
  </si>
  <si>
    <t>SWP8</t>
  </si>
  <si>
    <t>Approximate values extracted from bars for SWP8 RNAi on target mRNA expression</t>
  </si>
  <si>
    <t>SWP12</t>
  </si>
  <si>
    <t>Approximate values extracted from bars for SWP12 RNAi on target mRNA expression</t>
  </si>
  <si>
    <t>N. ceranae 16S rRNA / ssRNA</t>
  </si>
  <si>
    <t>Approximate values extracted from bars for SWP8 RNAi on N. ceranae 16S rRNA / ssRNA expression</t>
  </si>
  <si>
    <t>Approximate values extracted from bars for SWP8 RNAi on spore load</t>
  </si>
  <si>
    <t>Approximate values extracted from bars for SWP12 RNAi on spore load</t>
  </si>
  <si>
    <t>10.1016/j.jip.2022.107846</t>
  </si>
  <si>
    <t>Zhu et al. 2022 (NbIAP)</t>
  </si>
  <si>
    <t>NbIAP RNAi on NbIAP mRNA expression</t>
  </si>
  <si>
    <t>Nb-β-tubulin copies</t>
  </si>
  <si>
    <t>NbIAP RNAi on Nb-β-tubulin copies</t>
  </si>
  <si>
    <t>10.7717/peerj.13530</t>
  </si>
  <si>
    <t>Chen et al. 2022 (YCF1)</t>
  </si>
  <si>
    <t>YCF1 RNAi on YCF1 mRNA expression</t>
  </si>
  <si>
    <t>copies (approx. back-transformed from log10 values)</t>
  </si>
  <si>
    <t>YCF1 RNAi on Nb-β-tubulin copies; control and RNAi values back-transformed from log10 values (3.85 and 2.9)</t>
  </si>
  <si>
    <t>YCF1 RNAi on Nb-β-tubulin copies; control and RNAi values back-transformed from log10 values (3.9 and 3.6)</t>
  </si>
  <si>
    <t>YCF1 RNAi on Nb-β-tubulin copies; control and RNAi values back-transformed from log10 values (4.4 and 3.8)</t>
  </si>
  <si>
    <t>YCF1 RNAi on Nb-β-tubulin copies; control and RNAi values back-transformed from log10 values (5.2 and 4.3)</t>
  </si>
  <si>
    <t>YCF1 RNAi on Nb-β-tubulin copies; control and RNAi values back-transformed from log10 values (6.4 and 6.35)</t>
  </si>
  <si>
    <t>10.1016/j.meegid.2022.105309</t>
  </si>
  <si>
    <t>Yao et al. 2022 (NbCCTalpha)</t>
  </si>
  <si>
    <t>Panel A — CCTα RNAi on NbCCTalpha mRNA expression; user-supplied values</t>
  </si>
  <si>
    <t>Panel B — CCTα RNAi on β-tubulin copies; user-supplied values</t>
  </si>
  <si>
    <t>10.1089/nat.2016.0613</t>
  </si>
  <si>
    <t>Saleh et al. 2016 (ATP/ADP antiporter 1 / MetAP II)</t>
  </si>
  <si>
    <t>ATP/ADP antiporter 1</t>
  </si>
  <si>
    <t>percent of untreated infected cells</t>
  </si>
  <si>
    <t>ATP/ADP antiporter 1 RNAi on target mRNA expression; user-supplied values</t>
  </si>
  <si>
    <t>methionine aminopeptidase II</t>
  </si>
  <si>
    <t>methionine aminopeptidase II RNAi on target mRNA expression; user-supplied values</t>
  </si>
  <si>
    <t>fold vs untreated</t>
  </si>
  <si>
    <t>Effect on ssRNA for ATP/ADP antiporter 1; ratio-only values supplied by user</t>
  </si>
  <si>
    <t>Effect on ssRNA for methionine aminopeptidase II; ratio-only values supplied by user</t>
  </si>
  <si>
    <t>spore count</t>
  </si>
  <si>
    <t>avg. H. saurida per 10 infected EK-1 cells in 10 fields</t>
  </si>
  <si>
    <t>Effect on spores at 7 d for ATP/ADP antiporter 1; untreated control (~105) back-calculated from reported inhibition percentage</t>
  </si>
  <si>
    <t>Effect on spores at 7 d for methionine aminopeptidase II; untreated control (~105) back-calculated from reported inhibition percentage</t>
  </si>
  <si>
    <t>10.1111/jeu.12410</t>
  </si>
  <si>
    <t>Chen et al. 2017 (AlocSWP2)</t>
  </si>
  <si>
    <t>fold vs GFP control</t>
  </si>
  <si>
    <t>Panel B — AlocSWP2 RNAi on AlocSWP2 mRNA expression; approximate ratio supplied by user</t>
  </si>
  <si>
    <t>spore intensity / locust</t>
  </si>
  <si>
    <t>approx. spore intensity / locust</t>
  </si>
  <si>
    <t>Panel D — AlocSWP2 RNAi on spore number; approximate values supplied by user</t>
  </si>
  <si>
    <t>10.1242/jeb.184606</t>
  </si>
  <si>
    <t>Rodríguez-García et al. 2018 (ptp3)</t>
  </si>
  <si>
    <t>Approximate values for ptp3 RNAi on ptp3 mRNA expression from figure; user-supplied values</t>
  </si>
  <si>
    <t>Panel A — ptp3 RNAi on spore number; user-supplied values</t>
  </si>
  <si>
    <t>relative ssRNA</t>
  </si>
  <si>
    <t>Panel B — ptp3 RNAi on ssRNA; user-supplied values</t>
  </si>
  <si>
    <t>10.7892/boris.92937</t>
  </si>
  <si>
    <t>Huang et al. 2016 (Dicer)</t>
  </si>
  <si>
    <t>Dicer RNAi on spore number; single-condition spore-load values supplied by user</t>
  </si>
  <si>
    <t>10.1016/j.meegid.2018.12.022</t>
  </si>
  <si>
    <t>He et al. 2019 (NoboABCG1.1)</t>
  </si>
  <si>
    <t>Panel a — NoboABCG1.1 RNAi on NoboABCG1.1 mRNA expression; user-supplied values</t>
  </si>
  <si>
    <t>Panel b — NoboABCG1.1 RNAi on Nb-β-tubulin copies; user-supplied values</t>
  </si>
  <si>
    <t>10.1186/s13071-021-04595-8</t>
  </si>
  <si>
    <t>Zheng et al. 2021 (NbTMP1)</t>
  </si>
  <si>
    <t>Panel a — NbTMP1 RNAi on NbTMP1 mRNA expression; user-supplied values</t>
  </si>
  <si>
    <t>Panel b — NbTMP1 RNAi on Nb-β-tubulin copies; user-supplied values</t>
  </si>
  <si>
    <t>10.1016/j.jip.2020.107394</t>
  </si>
  <si>
    <t>He et al. 2020 (Cyto-NbHsp70)</t>
  </si>
  <si>
    <t>Panel A — Cyto-NbHsp70 RNAi on Cyto-NbHsp70 mRNA expression; user-supplied values</t>
  </si>
  <si>
    <t>Panel B — Cyto-NbHsp70 RNAi on Nb-β-tubulin copies; user-supplied values</t>
  </si>
  <si>
    <t>10.7717/peerj.5658</t>
  </si>
  <si>
    <t>Huang et al. 2018 (NbHK)</t>
  </si>
  <si>
    <t>Panel A — NbHK RNAi on NbHK mRNA expression; user-supplied values</t>
  </si>
  <si>
    <t>Panel C — NbHK RNAi on Nb-β-tubulin copies; user-supplied values</t>
  </si>
  <si>
    <t>ssRNA; beta-tubulin; N. bombycis actin localization (not quantified)</t>
  </si>
  <si>
    <t>beta-tubulin; spore wall thickness; spore germination</t>
  </si>
  <si>
    <t>beta-tubulin; user-supplied values</t>
  </si>
  <si>
    <t>Panel C — beta-tubulin; user-supplied values</t>
  </si>
  <si>
    <t>Panel D — NbTMP2 RNAi on beta-tubulin; user-supplied values</t>
  </si>
  <si>
    <t>Panel A — NbCCTα RNAi on beta-tubulin; user-supplied values</t>
  </si>
  <si>
    <t>Panel B — NbCCTη RNAi on beta-tubulin; user-supplied values</t>
  </si>
  <si>
    <t>Vairimorpha ceranae</t>
  </si>
  <si>
    <t>Table S1. Papers applying RNAi against microsporidia genes.</t>
  </si>
  <si>
    <t>Transporter</t>
  </si>
  <si>
    <t>RNAi machinery</t>
  </si>
  <si>
    <t>Membrane protein</t>
  </si>
  <si>
    <t>Chaperone</t>
  </si>
  <si>
    <t>Secreted protein</t>
  </si>
  <si>
    <t>Polar tube protein</t>
  </si>
  <si>
    <t>Spore wall protein</t>
  </si>
  <si>
    <t>Translation</t>
  </si>
  <si>
    <t>Apoptosis</t>
  </si>
  <si>
    <t>Metabolic enzyme</t>
  </si>
  <si>
    <t>SSP</t>
  </si>
  <si>
    <t>PTP1</t>
  </si>
  <si>
    <t>Transcription</t>
  </si>
  <si>
    <t>Trafficking</t>
  </si>
  <si>
    <t>DNA repair</t>
  </si>
  <si>
    <t>NbBip (GRP78)</t>
  </si>
  <si>
    <t>Metabolic Enzyme</t>
  </si>
  <si>
    <t>Vc ligase</t>
  </si>
  <si>
    <t>DNA replication</t>
  </si>
  <si>
    <t>Vc delta sub. of DNA pol.</t>
  </si>
  <si>
    <t>Vc PTP3</t>
  </si>
  <si>
    <t>Vc SWP8</t>
  </si>
  <si>
    <t>Vc helicase</t>
  </si>
  <si>
    <t>Vc epsilon sub. of DNA pol.</t>
  </si>
  <si>
    <t>Vc topoisomerase II</t>
  </si>
  <si>
    <t>Protein category</t>
  </si>
  <si>
    <t>wkB2:pDS-Nosema</t>
  </si>
  <si>
    <t>wkB2:pDS-GFP</t>
  </si>
  <si>
    <t>Spore load</t>
  </si>
  <si>
    <t>2B</t>
  </si>
  <si>
    <t>Huang 2023</t>
  </si>
  <si>
    <t>AlocSWP2 RNAi</t>
  </si>
  <si>
    <t>CK (mock)</t>
  </si>
  <si>
    <t>mRNA expression</t>
  </si>
  <si>
    <t>5B / Table S1</t>
  </si>
  <si>
    <t>Chen 2017</t>
  </si>
  <si>
    <t>dsTPx</t>
  </si>
  <si>
    <t>dsGFP</t>
  </si>
  <si>
    <t>4g</t>
  </si>
  <si>
    <t>Lang 2023</t>
  </si>
  <si>
    <t>dsTrxR</t>
  </si>
  <si>
    <t>4f</t>
  </si>
  <si>
    <t>dsGPx-2</t>
  </si>
  <si>
    <t>4e</t>
  </si>
  <si>
    <t>dsGPx-1</t>
  </si>
  <si>
    <t>4d</t>
  </si>
  <si>
    <t>dsGS</t>
  </si>
  <si>
    <t>4c</t>
  </si>
  <si>
    <t>dsγGCS</t>
  </si>
  <si>
    <t>4b</t>
  </si>
  <si>
    <t>N.b+NbSPN14-RNAi</t>
  </si>
  <si>
    <t>N.b+EGFP-RNAi</t>
  </si>
  <si>
    <t>S4A</t>
  </si>
  <si>
    <t>Ran 2025</t>
  </si>
  <si>
    <t>Extracted ratio</t>
  </si>
  <si>
    <t>Extracted treatment</t>
  </si>
  <si>
    <t>Extracted control</t>
  </si>
  <si>
    <t>Author ratio</t>
  </si>
  <si>
    <t>Author treatment value</t>
  </si>
  <si>
    <t>Author control value</t>
  </si>
  <si>
    <t>Treatment n</t>
  </si>
  <si>
    <t>Control n</t>
  </si>
  <si>
    <t>Treatment group</t>
  </si>
  <si>
    <t>Control group</t>
  </si>
  <si>
    <t>Day (dpi)</t>
  </si>
  <si>
    <t>Figure</t>
  </si>
  <si>
    <t>Paper</t>
  </si>
  <si>
    <t>Author summaries use treatment/control means for expression and back-transformed medians for Huang spore load. Δ is extracted minus author ratio in percentage points. Correlate within assay.</t>
  </si>
  <si>
    <t>Author data vs extracted figure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</si>
</sst>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000"/>
    <numFmt numFmtId="166" formatCode="0.000000"/>
  </numFmts>
  <fonts count="12" x14ac:knownFonts="1">
    <font>
      <sz val="10"/>
      <name val="Arial"/>
      <family val="2"/>
    </font>
    <font>
      <sz val="10"/>
      <name val="Arial"/>
      <family val="2"/>
    </font>
    <font>
      <sz val="10"/>
      <name val="Arial"/>
      <family val="2"/>
    </font>
    <font>
      <b/>
      <sz val="11"/>
      <color rgb="FFFFFFFF"/>
      <name val="Cambria"/>
      <family val="1"/>
    </font>
    <font>
      <sz val="11"/>
      <color rgb="FF666666"/>
      <name val="Cambria"/>
      <family val="1"/>
    </font>
    <font>
      <sz val="11"/>
      <color theme="1"/>
      <name val="Calibri"/>
      <family val="2"/>
    </font>
    <font>
      <u/>
      <sz val="11"/>
      <color rgb="FF008000"/>
      <name val="Cambria"/>
      <family val="1"/>
    </font>
    <font>
      <sz val="10"/>
      <name val="Arial"/>
    </font>
    <font>
      <sz val="10"/>
      <color rgb="FF172A3A"/>
      <name val="Arial"/>
    </font>
    <font>
      <b/>
      <sz val="10"/>
      <color rgb="FFFFFFFF"/>
      <name val="Arial"/>
    </font>
    <font>
      <i/>
      <sz val="10"/>
      <color rgb="FF536578"/>
      <name val="Arial"/>
    </font>
    <font>
      <b/>
      <sz val="15"/>
      <color rgb="FF1F4E78"/>
      <name val="Cambria"/>
    </font>
  </fonts>
  <fills count="8">
    <fill>
      <patternFill patternType="none"/>
    </fill>
    <fill>
      <patternFill patternType="gray125"/>
    </fill>
    <fill>
      <patternFill patternType="solid">
        <fgColor rgb="FF1F4E78"/>
      </patternFill>
    </fill>
    <fill>
      <patternFill patternType="solid">
        <fgColor rgb="FF4F81BD"/>
      </patternFill>
    </fill>
    <fill>
      <patternFill patternType="solid">
        <fgColor rgb="FFFFF2CC"/>
      </patternFill>
    </fill>
    <fill>
      <patternFill patternType="solid">
        <fgColor rgb="FFE4DFEC"/>
      </patternFill>
    </fill>
    <fill>
      <patternFill patternType="solid">
        <fgColor rgb="FFF2F4F6"/>
      </patternFill>
    </fill>
    <fill>
      <patternFill patternType="solid">
        <fgColor rgb="FFE5F1F7"/>
      </patternFill>
    </fill>
  </fills>
  <borders count="2">
    <border>
      <left/>
      <right/>
      <top/>
      <bottom/>
      <diagonal/>
    </border>
    <border>
      <left/>
      <right/>
      <top/>
      <bottom style="thin">
        <color rgb="FFD9D9D9"/>
      </bottom>
      <diagonal/>
    </border>
  </borders>
  <cellStyleXfs count="8">
    <xf numFmtId="0" fontId="0" fillId="0" borderId="0"/>
    <xf numFmtId="43" fontId="1" fillId="0" borderId="0"/>
    <xf numFmtId="41" fontId="1" fillId="0" borderId="0"/>
    <xf numFmtId="44" fontId="1" fillId="0" borderId="0"/>
    <xf numFmtId="42" fontId="1" fillId="0" borderId="0"/>
    <xf numFmtId="9" fontId="1" fillId="0" borderId="0"/>
    <xf numFmtId="0" fontId="5" fillId="0" borderId="1" xfId="0" applyFont="1" applyBorder="1" applyAlignment="1">
      <alignment vertical="top" wrapText="1"/>
    </xf>
    <xf numFmtId="0" fontId="7" fillId="0" borderId="0"/>
  </cellStyleXfs>
  <cellXfs count="36">
    <xf numFmtId="0" fontId="0" fillId="0" borderId="0" xfId="0"/>
    <xf numFmtId="0" fontId="2" fillId="0" borderId="0" xfId="6" applyFont="1" applyAlignment="1"/>
    <xf numFmtId="0" fontId="3" fillId="3" borderId="1" xfId="0" applyFont="1" applyFill="1" applyBorder="1" applyAlignment="1">
      <alignment horizontal="center" vertical="center" wrapText="1"/>
    </xf>
    <xf numFmtId="0" fontId="3" fillId="2" borderId="0" xfId="0" applyFont="1" applyFill="1"/>
    <xf numFmtId="0" fontId="4" fillId="0" borderId="1" xfId="0" applyFont="1" applyBorder="1"/>
    <xf numFmtId="0" fontId="5" fillId="0" borderId="1" xfId="0" applyFont="1" applyBorder="1" applyAlignment="1">
      <alignment vertical="top"/>
    </xf>
    <xf numFmtId="0" fontId="5" fillId="0" borderId="1" xfId="0" applyFont="1" applyBorder="1" applyAlignment="1">
      <alignment vertical="top" wrapText="1"/>
    </xf>
    <xf numFmtId="0" fontId="6" fillId="0" borderId="1" xfId="0" applyFont="1" applyBorder="1"/>
    <xf numFmtId="0" fontId="4" fillId="4" borderId="1" xfId="0" applyFont="1" applyFill="1" applyBorder="1"/>
    <xf numFmtId="0" fontId="5" fillId="4" borderId="1" xfId="0" applyFont="1" applyFill="1" applyBorder="1" applyAlignment="1">
      <alignment vertical="top"/>
    </xf>
    <xf numFmtId="0" fontId="5" fillId="4" borderId="1" xfId="0" applyFont="1" applyFill="1" applyBorder="1" applyAlignment="1">
      <alignment vertical="top" wrapText="1"/>
    </xf>
    <xf numFmtId="0" fontId="6" fillId="4" borderId="1" xfId="0" applyFont="1" applyFill="1" applyBorder="1"/>
    <xf numFmtId="0" fontId="4" fillId="5" borderId="1" xfId="0" applyFont="1" applyFill="1" applyBorder="1"/>
    <xf numFmtId="0" fontId="5" fillId="5" borderId="1" xfId="0" applyFont="1" applyFill="1" applyBorder="1" applyAlignment="1">
      <alignment vertical="top"/>
    </xf>
    <xf numFmtId="0" fontId="5" fillId="5" borderId="1" xfId="0" applyFont="1" applyFill="1" applyBorder="1" applyAlignment="1">
      <alignment vertical="top" wrapText="1"/>
    </xf>
    <xf numFmtId="0" fontId="6" fillId="5" borderId="1" xfId="0" applyFont="1" applyFill="1" applyBorder="1"/>
    <xf numFmtId="0" fontId="3" fillId="2" borderId="1" xfId="0" applyFont="1" applyFill="1" applyBorder="1" applyAlignment="1">
      <alignment horizontal="center" vertical="center" wrapText="1"/>
    </xf>
    <xf numFmtId="1" fontId="5" fillId="0" borderId="0" xfId="0" applyNumberFormat="1" applyFont="1"/>
    <xf numFmtId="2" fontId="5" fillId="0" borderId="0" xfId="0" applyNumberFormat="1" applyFont="1"/>
    <xf numFmtId="164" fontId="5" fillId="0" borderId="0" xfId="0" applyNumberFormat="1" applyFont="1"/>
    <xf numFmtId="11" fontId="5" fillId="0" borderId="0" xfId="0" applyNumberFormat="1" applyFont="1"/>
    <xf numFmtId="0" fontId="0" fillId="0" borderId="0" xfId="0"/>
    <xf numFmtId="0" fontId="7" fillId="0" borderId="0" xfId="7"/>
    <xf numFmtId="165" fontId="8" fillId="6" borderId="0" xfId="7" applyNumberFormat="1" applyFont="1" applyFill="1"/>
    <xf numFmtId="166" fontId="8" fillId="6" borderId="0" xfId="7" applyNumberFormat="1" applyFont="1" applyFill="1"/>
    <xf numFmtId="165" fontId="8" fillId="7" borderId="0" xfId="7" applyNumberFormat="1" applyFont="1" applyFill="1"/>
    <xf numFmtId="166" fontId="8" fillId="7" borderId="0" xfId="7" applyNumberFormat="1" applyFont="1" applyFill="1"/>
    <xf numFmtId="0" fontId="8" fillId="0" borderId="0" xfId="7" applyFont="1"/>
    <xf numFmtId="165" fontId="7" fillId="6" borderId="0" xfId="7" applyNumberFormat="1" applyFill="1"/>
    <xf numFmtId="166" fontId="7" fillId="6" borderId="0" xfId="7" applyNumberFormat="1" applyFill="1"/>
    <xf numFmtId="165" fontId="7" fillId="7" borderId="0" xfId="7" applyNumberFormat="1" applyFill="1"/>
    <xf numFmtId="166" fontId="7" fillId="7" borderId="0" xfId="7" applyNumberFormat="1" applyFill="1"/>
    <xf numFmtId="0" fontId="9" fillId="0" borderId="0" xfId="7" applyFont="1"/>
    <xf numFmtId="0" fontId="8" fillId="0" borderId="0" xfId="7" applyFont="1"/>
    <xf numFmtId="0" fontId="10" fillId="0" borderId="0" xfId="7" applyFont="1"/>
    <xf numFmtId="0" fontId="11" fillId="0" borderId="0" xfId="7" applyFont="1"/>
  </cellXfs>
  <cellStyles count="7">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Normal 2" xfId="7" xr:uid="{40F6E42E-0CB3-403E-8816-587E33671FB1}"/>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4F81BD"/>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901700</xdr:colOff>
      <xdr:row>9</xdr:row>
      <xdr:rowOff>685800</xdr:rowOff>
    </xdr:to>
    <xdr:sp macro="" textlink="">
      <xdr:nvSpPr>
        <xdr:cNvPr id="1028" name="Text Box 4" hidden="1">
          <a:extLst>
            <a:ext uri="{FF2B5EF4-FFF2-40B4-BE49-F238E27FC236}">
              <a16:creationId xmlns:a16="http://schemas.microsoft.com/office/drawing/2014/main" id="{BB547747-360C-8D99-AA0D-BD753F1F17C8}"/>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Table_S1%20(4).xlsx" TargetMode="External"/><Relationship Id="rId2" Type="http://schemas.openxmlformats.org/officeDocument/2006/relationships/externalLinkPath" Target="file:///C:\Users\awrei\Downloads\Table_S1%20(4).xlsx" TargetMode="External"/><Relationship Id="rId1" Type="http://schemas.openxmlformats.org/officeDocument/2006/relationships/externalLinkPath" Target="/Users/awrei/Downloads/Table_S1%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ster_Bibliography"/>
      <sheetName val="Categories of RNAi targets"/>
      <sheetName val="Quant_Timepoint_Data"/>
      <sheetName val="Author replicate data"/>
      <sheetName val="Chen 2017 qPCR"/>
    </sheetNames>
    <sheetDataSet>
      <sheetData sheetId="0"/>
      <sheetData sheetId="1"/>
      <sheetData sheetId="2">
        <row r="89">
          <cell r="M89">
            <v>1</v>
          </cell>
          <cell r="N89">
            <v>0.37</v>
          </cell>
          <cell r="O89">
            <v>0.37</v>
          </cell>
        </row>
        <row r="90">
          <cell r="M90">
            <v>1</v>
          </cell>
          <cell r="N90">
            <v>0.53</v>
          </cell>
          <cell r="O90">
            <v>0.53</v>
          </cell>
        </row>
        <row r="91">
          <cell r="M91">
            <v>1</v>
          </cell>
          <cell r="N91">
            <v>0.67</v>
          </cell>
          <cell r="O91">
            <v>0.67</v>
          </cell>
        </row>
        <row r="230">
          <cell r="M230">
            <v>1</v>
          </cell>
          <cell r="N230">
            <v>0.5</v>
          </cell>
          <cell r="O230">
            <v>0.5</v>
          </cell>
        </row>
        <row r="231">
          <cell r="M231">
            <v>1</v>
          </cell>
          <cell r="N231">
            <v>0.47</v>
          </cell>
          <cell r="O231">
            <v>0.47</v>
          </cell>
        </row>
        <row r="232">
          <cell r="M232">
            <v>0.95</v>
          </cell>
          <cell r="N232">
            <v>0.12</v>
          </cell>
          <cell r="O232">
            <v>0.12631578947368421</v>
          </cell>
        </row>
        <row r="233">
          <cell r="M233">
            <v>1.08</v>
          </cell>
          <cell r="N233">
            <v>0.16</v>
          </cell>
          <cell r="O233">
            <v>0.14814814814814814</v>
          </cell>
        </row>
        <row r="234">
          <cell r="M234">
            <v>1</v>
          </cell>
          <cell r="N234">
            <v>0.26</v>
          </cell>
          <cell r="O234">
            <v>0.26</v>
          </cell>
        </row>
        <row r="235">
          <cell r="M235">
            <v>1</v>
          </cell>
          <cell r="N235">
            <v>0.36</v>
          </cell>
          <cell r="O235">
            <v>0.36</v>
          </cell>
        </row>
        <row r="248">
          <cell r="M248">
            <v>45000</v>
          </cell>
          <cell r="N248">
            <v>20000</v>
          </cell>
          <cell r="O248">
            <v>0.44444444444444442</v>
          </cell>
        </row>
        <row r="322">
          <cell r="O322">
            <v>0.04</v>
          </cell>
        </row>
      </sheetData>
      <sheetData sheetId="3">
        <row r="5">
          <cell r="K5">
            <v>0.82931999999999995</v>
          </cell>
        </row>
        <row r="6">
          <cell r="K6">
            <v>0.87055099999999996</v>
          </cell>
        </row>
        <row r="7">
          <cell r="K7">
            <v>1.2226399999999999</v>
          </cell>
        </row>
        <row r="8">
          <cell r="K8">
            <v>1.132884</v>
          </cell>
        </row>
        <row r="9">
          <cell r="K9">
            <v>0.30354900000000001</v>
          </cell>
        </row>
        <row r="10">
          <cell r="K10">
            <v>0.31863999999999998</v>
          </cell>
        </row>
        <row r="11">
          <cell r="K11">
            <v>0.44751299999999999</v>
          </cell>
        </row>
        <row r="12">
          <cell r="K12">
            <v>0.41465999999999997</v>
          </cell>
        </row>
        <row r="13">
          <cell r="K13">
            <v>0.98623300000000003</v>
          </cell>
        </row>
        <row r="14">
          <cell r="K14">
            <v>1.1019049999999999</v>
          </cell>
        </row>
        <row r="15">
          <cell r="K15">
            <v>1</v>
          </cell>
        </row>
        <row r="16">
          <cell r="K16">
            <v>0.91383099999999995</v>
          </cell>
        </row>
        <row r="17">
          <cell r="K17">
            <v>0.52485800000000005</v>
          </cell>
        </row>
        <row r="18">
          <cell r="K18">
            <v>0.58641699999999997</v>
          </cell>
        </row>
        <row r="19">
          <cell r="K19">
            <v>0.53218500000000002</v>
          </cell>
        </row>
        <row r="20">
          <cell r="K20">
            <v>0.48632700000000001</v>
          </cell>
        </row>
        <row r="21">
          <cell r="K21">
            <v>1.1566879999999999</v>
          </cell>
        </row>
        <row r="22">
          <cell r="K22">
            <v>1.0424659999999999</v>
          </cell>
        </row>
        <row r="23">
          <cell r="K23">
            <v>0.97941999999999996</v>
          </cell>
        </row>
        <row r="24">
          <cell r="K24">
            <v>0.84089599999999998</v>
          </cell>
        </row>
        <row r="25">
          <cell r="K25">
            <v>0.77378199999999997</v>
          </cell>
        </row>
        <row r="26">
          <cell r="K26">
            <v>0.69737199999999999</v>
          </cell>
        </row>
        <row r="27">
          <cell r="K27">
            <v>0.65519700000000003</v>
          </cell>
        </row>
        <row r="28">
          <cell r="K28">
            <v>0.56252899999999995</v>
          </cell>
        </row>
        <row r="29">
          <cell r="K29">
            <v>1.0382159200000001</v>
          </cell>
        </row>
        <row r="30">
          <cell r="K30">
            <v>1.16204712</v>
          </cell>
        </row>
        <row r="31">
          <cell r="K31">
            <v>1.2341494900000001</v>
          </cell>
        </row>
        <row r="32">
          <cell r="K32">
            <v>0.84334176000000005</v>
          </cell>
        </row>
        <row r="33">
          <cell r="K33">
            <v>0.79637424000000001</v>
          </cell>
        </row>
        <row r="34">
          <cell r="K34">
            <v>0.59061522</v>
          </cell>
        </row>
        <row r="35">
          <cell r="K35">
            <v>0.57797916999999999</v>
          </cell>
        </row>
        <row r="36">
          <cell r="K36">
            <v>0.34936183999999998</v>
          </cell>
        </row>
        <row r="37">
          <cell r="K37">
            <v>9.6958600000000006E-2</v>
          </cell>
        </row>
        <row r="38">
          <cell r="K38">
            <v>0.92059928999999996</v>
          </cell>
        </row>
        <row r="39">
          <cell r="K39">
            <v>1.1885102000000001</v>
          </cell>
        </row>
        <row r="40">
          <cell r="K40">
            <v>1.3109397199999999</v>
          </cell>
        </row>
        <row r="41">
          <cell r="K41">
            <v>1.09427271</v>
          </cell>
        </row>
        <row r="42">
          <cell r="K42">
            <v>0.64677445</v>
          </cell>
        </row>
        <row r="43">
          <cell r="K43">
            <v>0.90685101000000001</v>
          </cell>
        </row>
        <row r="44">
          <cell r="K44">
            <v>0.50075851999999998</v>
          </cell>
        </row>
        <row r="45">
          <cell r="K45">
            <v>0.40972859</v>
          </cell>
        </row>
        <row r="46">
          <cell r="K46">
            <v>0.19389887</v>
          </cell>
        </row>
        <row r="47">
          <cell r="K47">
            <v>1.23869574</v>
          </cell>
        </row>
        <row r="48">
          <cell r="K48">
            <v>0.15484112999999999</v>
          </cell>
        </row>
        <row r="49">
          <cell r="K49">
            <v>0.91679569999999999</v>
          </cell>
        </row>
        <row r="50">
          <cell r="K50">
            <v>0.97644763000000001</v>
          </cell>
        </row>
        <row r="51">
          <cell r="K51">
            <v>1.3966218800000001</v>
          </cell>
        </row>
        <row r="52">
          <cell r="K52">
            <v>0.88357202999999995</v>
          </cell>
        </row>
        <row r="53">
          <cell r="K53">
            <v>0.90522736999999998</v>
          </cell>
        </row>
        <row r="54">
          <cell r="K54">
            <v>0.10299223</v>
          </cell>
        </row>
        <row r="55">
          <cell r="K55">
            <v>0.15237313</v>
          </cell>
        </row>
        <row r="56">
          <cell r="K56">
            <v>8.43227E-2</v>
          </cell>
        </row>
        <row r="57">
          <cell r="K57">
            <v>0.16074126999999999</v>
          </cell>
        </row>
        <row r="58">
          <cell r="K58">
            <v>0.16309354000000001</v>
          </cell>
        </row>
        <row r="59">
          <cell r="K59">
            <v>1.2063030299999999</v>
          </cell>
        </row>
        <row r="60">
          <cell r="K60">
            <v>1.2843243499999999</v>
          </cell>
        </row>
        <row r="61">
          <cell r="K61">
            <v>1.6150696099999999</v>
          </cell>
        </row>
        <row r="62">
          <cell r="K62">
            <v>1.0265091099999999</v>
          </cell>
        </row>
        <row r="63">
          <cell r="K63">
            <v>0.38932726000000001</v>
          </cell>
        </row>
        <row r="64">
          <cell r="K64">
            <v>0.10998972999999999</v>
          </cell>
        </row>
        <row r="65">
          <cell r="K65">
            <v>0.16229911999999999</v>
          </cell>
        </row>
        <row r="66">
          <cell r="K66">
            <v>7.0043919999999996E-2</v>
          </cell>
        </row>
        <row r="67">
          <cell r="K67">
            <v>0.62868058999999998</v>
          </cell>
        </row>
        <row r="68">
          <cell r="K68">
            <v>6.5813730000000001E-2</v>
          </cell>
        </row>
        <row r="69">
          <cell r="K69">
            <v>1.0757223300000001</v>
          </cell>
        </row>
        <row r="70">
          <cell r="K70">
            <v>0.90923953000000002</v>
          </cell>
        </row>
        <row r="71">
          <cell r="K71">
            <v>0.84853347000000001</v>
          </cell>
        </row>
        <row r="72">
          <cell r="K72">
            <v>0.98152824000000005</v>
          </cell>
        </row>
        <row r="73">
          <cell r="K73">
            <v>1.2275797900000001</v>
          </cell>
        </row>
        <row r="74">
          <cell r="K74">
            <v>0.19972472999999999</v>
          </cell>
        </row>
        <row r="75">
          <cell r="K75">
            <v>0.30773842000000001</v>
          </cell>
        </row>
        <row r="76">
          <cell r="K76">
            <v>0.10611951999999999</v>
          </cell>
        </row>
        <row r="77">
          <cell r="K77">
            <v>0.23713390000000001</v>
          </cell>
        </row>
        <row r="78">
          <cell r="K78">
            <v>0.70561247999999999</v>
          </cell>
        </row>
        <row r="79">
          <cell r="K79">
            <v>0.89400164999999998</v>
          </cell>
        </row>
        <row r="80">
          <cell r="K80">
            <v>0.64548052</v>
          </cell>
        </row>
        <row r="81">
          <cell r="K81">
            <v>1.12565793</v>
          </cell>
        </row>
        <row r="82">
          <cell r="K82">
            <v>1.6470408700000001</v>
          </cell>
        </row>
        <row r="83">
          <cell r="K83">
            <v>0.93469027999999998</v>
          </cell>
        </row>
        <row r="84">
          <cell r="K84">
            <v>0.13632804000000001</v>
          </cell>
        </row>
        <row r="85">
          <cell r="K85">
            <v>0.22958258000000001</v>
          </cell>
        </row>
        <row r="86">
          <cell r="K86">
            <v>0.49338565000000001</v>
          </cell>
        </row>
        <row r="87">
          <cell r="K87">
            <v>0.34007337999999998</v>
          </cell>
        </row>
        <row r="88">
          <cell r="K88">
            <v>0.68726558000000004</v>
          </cell>
        </row>
        <row r="269">
          <cell r="K269">
            <v>13.3</v>
          </cell>
        </row>
        <row r="270">
          <cell r="K270">
            <v>14.9</v>
          </cell>
        </row>
        <row r="271">
          <cell r="K271">
            <v>13.3</v>
          </cell>
        </row>
        <row r="272">
          <cell r="K272">
            <v>16.3</v>
          </cell>
        </row>
        <row r="273">
          <cell r="K273">
            <v>14.9</v>
          </cell>
        </row>
        <row r="274">
          <cell r="K274">
            <v>15.3</v>
          </cell>
        </row>
        <row r="275">
          <cell r="K275">
            <v>13.3</v>
          </cell>
        </row>
        <row r="276">
          <cell r="K276">
            <v>16.899999999999999</v>
          </cell>
        </row>
        <row r="277">
          <cell r="K277">
            <v>14.3</v>
          </cell>
        </row>
        <row r="278">
          <cell r="K278">
            <v>13.3</v>
          </cell>
        </row>
        <row r="279">
          <cell r="K279">
            <v>15.9</v>
          </cell>
        </row>
        <row r="280">
          <cell r="K280">
            <v>14.3</v>
          </cell>
        </row>
        <row r="281">
          <cell r="K281">
            <v>13.3</v>
          </cell>
        </row>
        <row r="282">
          <cell r="K282">
            <v>14.9</v>
          </cell>
        </row>
        <row r="283">
          <cell r="K283">
            <v>13.3</v>
          </cell>
        </row>
        <row r="284">
          <cell r="K284">
            <v>13.3</v>
          </cell>
        </row>
        <row r="285">
          <cell r="K285">
            <v>15.9</v>
          </cell>
        </row>
        <row r="286">
          <cell r="K286">
            <v>14.9</v>
          </cell>
        </row>
        <row r="287">
          <cell r="K287">
            <v>15.3</v>
          </cell>
        </row>
        <row r="288">
          <cell r="K288">
            <v>18</v>
          </cell>
        </row>
        <row r="289">
          <cell r="K289">
            <v>14.9</v>
          </cell>
        </row>
        <row r="290">
          <cell r="K290">
            <v>15.6</v>
          </cell>
        </row>
        <row r="291">
          <cell r="K291">
            <v>13.3</v>
          </cell>
        </row>
        <row r="292">
          <cell r="K292">
            <v>17.399999999999999</v>
          </cell>
        </row>
        <row r="293">
          <cell r="K293">
            <v>17</v>
          </cell>
        </row>
        <row r="294">
          <cell r="K294">
            <v>16.899999999999999</v>
          </cell>
        </row>
        <row r="295">
          <cell r="K295">
            <v>17.5</v>
          </cell>
        </row>
        <row r="296">
          <cell r="K296">
            <v>15.3</v>
          </cell>
        </row>
        <row r="297">
          <cell r="K297">
            <v>16.7</v>
          </cell>
        </row>
        <row r="298">
          <cell r="K298">
            <v>13.3</v>
          </cell>
        </row>
        <row r="299">
          <cell r="K299">
            <v>16.600000000000001</v>
          </cell>
        </row>
        <row r="300">
          <cell r="K300">
            <v>14.3</v>
          </cell>
        </row>
        <row r="301">
          <cell r="K301">
            <v>14.3</v>
          </cell>
        </row>
        <row r="302">
          <cell r="K302">
            <v>13.3</v>
          </cell>
        </row>
      </sheetData>
      <sheetData sheetId="4">
        <row r="5">
          <cell r="Q5">
            <v>3.8314176245210725E-2</v>
          </cell>
        </row>
        <row r="6">
          <cell r="Q6">
            <v>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Bibliography" displayName="MasterBibliography" ref="A2:I48">
  <autoFilter ref="A2:I48" xr:uid="{00000000-0009-0000-0100-000001000000}"/>
  <tableColumns count="9">
    <tableColumn id="1" xr3:uid="{00000000-0010-0000-0000-000001000000}" name="Ref_No"/>
    <tableColumn id="2" xr3:uid="{00000000-0010-0000-0000-000002000000}" name="First_Author"/>
    <tableColumn id="3" xr3:uid="{00000000-0010-0000-0000-000003000000}" name="Year"/>
    <tableColumn id="4" xr3:uid="{00000000-0010-0000-0000-000004000000}" name="Title"/>
    <tableColumn id="5" xr3:uid="{00000000-0010-0000-0000-000005000000}" name="Full_Citation"/>
    <tableColumn id="6" xr3:uid="{00000000-0010-0000-0000-000006000000}" name="Parasite_Species"/>
    <tableColumn id="7" xr3:uid="{00000000-0010-0000-0000-000007000000}" name="Host_System"/>
    <tableColumn id="8" xr3:uid="{00000000-0010-0000-0000-000008000000}" name="Target"/>
    <tableColumn id="16" xr3:uid="{00000000-0010-0000-0000-000010000000}" name="Source_UR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100B9-8C07-4F69-9C6D-8D07D0520770}" name="AuthorExtractedComparison" displayName="AuthorExtractedComparison" ref="A4:O15" totalsRowShown="0">
  <tableColumns count="15">
    <tableColumn id="1" xr3:uid="{00000000-0010-0000-0100-000001000000}" name="Paper"/>
    <tableColumn id="2" xr3:uid="{00000000-0010-0000-0100-000002000000}" name="Figure"/>
    <tableColumn id="3" xr3:uid="{00000000-0010-0000-0100-000003000000}" name="Assay"/>
    <tableColumn id="4" xr3:uid="{00000000-0010-0000-0100-000004000000}" name="Target"/>
    <tableColumn id="5" xr3:uid="{00000000-0010-0000-0100-000005000000}" name="Day (dpi)"/>
    <tableColumn id="6" xr3:uid="{00000000-0010-0000-0100-000006000000}" name="Control group"/>
    <tableColumn id="7" xr3:uid="{00000000-0010-0000-0100-000007000000}" name="Treatment group"/>
    <tableColumn id="8" xr3:uid="{00000000-0010-0000-0100-000008000000}" name="Control n"/>
    <tableColumn id="9" xr3:uid="{00000000-0010-0000-0100-000009000000}" name="Treatment n"/>
    <tableColumn id="10" xr3:uid="{00000000-0010-0000-0100-00000A000000}" name="Author control value"/>
    <tableColumn id="11" xr3:uid="{00000000-0010-0000-0100-00000B000000}" name="Author treatment value"/>
    <tableColumn id="12" xr3:uid="{00000000-0010-0000-0100-00000C000000}" name="Author ratio">
      <calculatedColumnFormula>K5/J5</calculatedColumnFormula>
    </tableColumn>
    <tableColumn id="13" xr3:uid="{00000000-0010-0000-0100-00000D000000}" name="Extracted control"/>
    <tableColumn id="14" xr3:uid="{00000000-0010-0000-0100-00000E000000}" name="Extracted treatment"/>
    <tableColumn id="15" xr3:uid="{00000000-0010-0000-0100-00000F000000}" name="Extracted ratio"/>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8"/>
  <sheetViews>
    <sheetView topLeftCell="A41" workbookViewId="0">
      <selection activeCell="E4" sqref="E4"/>
    </sheetView>
  </sheetViews>
  <sheetFormatPr defaultColWidth="8.6328125" defaultRowHeight="12.5" x14ac:dyDescent="0.25"/>
  <cols>
    <col min="1" max="1" width="8" style="1" customWidth="1"/>
    <col min="2" max="2" width="14" style="1" customWidth="1"/>
    <col min="3" max="3" width="8" style="1" customWidth="1"/>
    <col min="4" max="4" width="48" style="1" customWidth="1"/>
    <col min="5" max="5" width="92" style="1" customWidth="1"/>
    <col min="6" max="6" width="34" style="1" customWidth="1"/>
    <col min="7" max="7" width="32" style="1" customWidth="1"/>
    <col min="8" max="9" width="42" style="1" customWidth="1"/>
    <col min="10" max="10" width="24" style="1" customWidth="1"/>
    <col min="11" max="11" width="42" style="1" customWidth="1"/>
    <col min="12" max="12" width="24" style="1" customWidth="1"/>
    <col min="13" max="13" width="22" style="1" customWidth="1"/>
    <col min="14" max="14" width="24" style="1" customWidth="1"/>
    <col min="15" max="15" width="80" style="1" customWidth="1"/>
    <col min="16" max="17" width="90" style="1" customWidth="1"/>
    <col min="18" max="19" width="22" style="1" customWidth="1"/>
  </cols>
  <sheetData>
    <row r="1" spans="1:19" x14ac:dyDescent="0.25">
      <c r="A1" s="6" t="s">
        <v>701</v>
      </c>
      <c r="B1" s="21"/>
      <c r="C1" s="21"/>
      <c r="D1" s="21"/>
      <c r="E1" s="21"/>
    </row>
    <row r="2" spans="1:19" ht="31.5" customHeight="1" x14ac:dyDescent="0.3">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3" t="s">
        <v>17</v>
      </c>
      <c r="S2" s="3" t="s">
        <v>18</v>
      </c>
    </row>
    <row r="3" spans="1:19" ht="41.25" customHeight="1" x14ac:dyDescent="0.3">
      <c r="A3" s="4">
        <v>1</v>
      </c>
      <c r="B3" s="5" t="s">
        <v>19</v>
      </c>
      <c r="C3" s="4">
        <v>2010</v>
      </c>
      <c r="D3" s="6" t="s">
        <v>20</v>
      </c>
      <c r="E3" s="6" t="s">
        <v>21</v>
      </c>
      <c r="F3" s="6" t="s">
        <v>700</v>
      </c>
      <c r="G3" s="6" t="s">
        <v>23</v>
      </c>
      <c r="H3" s="6" t="s">
        <v>24</v>
      </c>
      <c r="I3" s="7" t="s">
        <v>26</v>
      </c>
      <c r="J3" s="6" t="s">
        <v>27</v>
      </c>
      <c r="K3" s="6" t="s">
        <v>28</v>
      </c>
      <c r="L3" s="6" t="s">
        <v>29</v>
      </c>
      <c r="M3" s="6" t="s">
        <v>30</v>
      </c>
      <c r="N3" s="6" t="s">
        <v>31</v>
      </c>
      <c r="O3" s="6"/>
      <c r="P3"/>
      <c r="Q3"/>
      <c r="S3"/>
    </row>
    <row r="4" spans="1:19" ht="41.25" customHeight="1" x14ac:dyDescent="0.3">
      <c r="A4" s="4">
        <v>2</v>
      </c>
      <c r="B4" s="5" t="s">
        <v>32</v>
      </c>
      <c r="C4" s="4">
        <v>2016</v>
      </c>
      <c r="D4" s="6" t="s">
        <v>33</v>
      </c>
      <c r="E4" s="6" t="s">
        <v>34</v>
      </c>
      <c r="F4" s="6" t="s">
        <v>700</v>
      </c>
      <c r="G4" s="6" t="s">
        <v>23</v>
      </c>
      <c r="H4" s="6" t="s">
        <v>35</v>
      </c>
      <c r="I4" s="7" t="s">
        <v>36</v>
      </c>
      <c r="J4" s="6" t="s">
        <v>37</v>
      </c>
      <c r="K4" s="6" t="s">
        <v>28</v>
      </c>
      <c r="L4" s="6" t="s">
        <v>29</v>
      </c>
      <c r="M4" s="6" t="s">
        <v>38</v>
      </c>
      <c r="N4" s="6" t="s">
        <v>39</v>
      </c>
      <c r="O4" s="6"/>
      <c r="P4" t="s">
        <v>40</v>
      </c>
      <c r="Q4"/>
      <c r="R4" t="s">
        <v>41</v>
      </c>
      <c r="S4"/>
    </row>
    <row r="5" spans="1:19" ht="54.75" customHeight="1" x14ac:dyDescent="0.3">
      <c r="A5" s="4">
        <v>3</v>
      </c>
      <c r="B5" s="5" t="s">
        <v>42</v>
      </c>
      <c r="C5" s="4">
        <v>2019</v>
      </c>
      <c r="D5" s="6" t="s">
        <v>43</v>
      </c>
      <c r="E5" s="6" t="s">
        <v>44</v>
      </c>
      <c r="F5" s="6" t="s">
        <v>45</v>
      </c>
      <c r="G5" s="6" t="s">
        <v>46</v>
      </c>
      <c r="H5" s="6" t="s">
        <v>47</v>
      </c>
      <c r="I5" s="7" t="s">
        <v>48</v>
      </c>
      <c r="J5" s="6" t="s">
        <v>49</v>
      </c>
      <c r="K5" s="6" t="s">
        <v>28</v>
      </c>
      <c r="L5" s="6" t="s">
        <v>29</v>
      </c>
      <c r="M5" s="6" t="s">
        <v>121</v>
      </c>
      <c r="N5" s="6" t="s">
        <v>50</v>
      </c>
      <c r="O5" s="6" t="s">
        <v>51</v>
      </c>
      <c r="P5"/>
      <c r="Q5"/>
      <c r="R5" t="s">
        <v>41</v>
      </c>
      <c r="S5" t="s">
        <v>52</v>
      </c>
    </row>
    <row r="6" spans="1:19" ht="41.25" customHeight="1" x14ac:dyDescent="0.3">
      <c r="A6" s="4">
        <v>4</v>
      </c>
      <c r="B6" s="5" t="s">
        <v>53</v>
      </c>
      <c r="C6" s="4">
        <v>2021</v>
      </c>
      <c r="D6" s="6" t="s">
        <v>54</v>
      </c>
      <c r="E6" s="6" t="s">
        <v>55</v>
      </c>
      <c r="F6" s="6" t="s">
        <v>45</v>
      </c>
      <c r="G6" s="6" t="s">
        <v>56</v>
      </c>
      <c r="H6" s="6" t="s">
        <v>57</v>
      </c>
      <c r="I6" s="7" t="s">
        <v>58</v>
      </c>
      <c r="J6" s="6" t="s">
        <v>49</v>
      </c>
      <c r="K6" s="6" t="s">
        <v>28</v>
      </c>
      <c r="L6" s="6" t="s">
        <v>29</v>
      </c>
      <c r="M6" s="6" t="s">
        <v>121</v>
      </c>
      <c r="N6" s="6" t="s">
        <v>59</v>
      </c>
      <c r="O6" s="6" t="s">
        <v>60</v>
      </c>
      <c r="P6"/>
      <c r="Q6"/>
      <c r="R6" t="s">
        <v>41</v>
      </c>
      <c r="S6" t="s">
        <v>61</v>
      </c>
    </row>
    <row r="7" spans="1:19" ht="41.25" customHeight="1" x14ac:dyDescent="0.3">
      <c r="A7" s="4">
        <v>5</v>
      </c>
      <c r="B7" s="5" t="s">
        <v>42</v>
      </c>
      <c r="C7" s="4">
        <v>2020</v>
      </c>
      <c r="D7" s="6" t="s">
        <v>62</v>
      </c>
      <c r="E7" s="6" t="s">
        <v>63</v>
      </c>
      <c r="F7" s="6" t="s">
        <v>45</v>
      </c>
      <c r="G7" s="6" t="s">
        <v>56</v>
      </c>
      <c r="H7" s="6" t="s">
        <v>64</v>
      </c>
      <c r="I7" s="7" t="s">
        <v>65</v>
      </c>
      <c r="J7" s="6" t="s">
        <v>49</v>
      </c>
      <c r="K7" s="6" t="s">
        <v>28</v>
      </c>
      <c r="L7" s="6" t="s">
        <v>29</v>
      </c>
      <c r="M7" s="6" t="s">
        <v>121</v>
      </c>
      <c r="N7" s="6" t="s">
        <v>66</v>
      </c>
      <c r="O7" s="6" t="s">
        <v>67</v>
      </c>
      <c r="P7"/>
      <c r="Q7"/>
      <c r="R7" t="s">
        <v>41</v>
      </c>
      <c r="S7" t="s">
        <v>68</v>
      </c>
    </row>
    <row r="8" spans="1:19" ht="41.25" customHeight="1" x14ac:dyDescent="0.3">
      <c r="A8" s="4">
        <v>6</v>
      </c>
      <c r="B8" s="5" t="s">
        <v>32</v>
      </c>
      <c r="C8" s="4">
        <v>2018</v>
      </c>
      <c r="D8" s="6" t="s">
        <v>69</v>
      </c>
      <c r="E8" s="6" t="s">
        <v>70</v>
      </c>
      <c r="F8" s="6" t="s">
        <v>45</v>
      </c>
      <c r="G8" s="6" t="s">
        <v>56</v>
      </c>
      <c r="H8" s="6" t="s">
        <v>71</v>
      </c>
      <c r="I8" s="7" t="s">
        <v>72</v>
      </c>
      <c r="J8" s="6" t="s">
        <v>73</v>
      </c>
      <c r="K8" s="6" t="s">
        <v>28</v>
      </c>
      <c r="L8" s="6" t="s">
        <v>29</v>
      </c>
      <c r="M8" s="6" t="s">
        <v>121</v>
      </c>
      <c r="N8" s="6" t="s">
        <v>74</v>
      </c>
      <c r="O8" s="6" t="s">
        <v>75</v>
      </c>
      <c r="P8"/>
      <c r="Q8"/>
      <c r="R8" t="s">
        <v>41</v>
      </c>
      <c r="S8" t="s">
        <v>76</v>
      </c>
    </row>
    <row r="9" spans="1:19" ht="81" customHeight="1" x14ac:dyDescent="0.3">
      <c r="A9" s="4">
        <v>7</v>
      </c>
      <c r="B9" s="5" t="s">
        <v>77</v>
      </c>
      <c r="C9" s="4">
        <v>2018</v>
      </c>
      <c r="D9" s="6" t="s">
        <v>78</v>
      </c>
      <c r="E9" s="6" t="s">
        <v>79</v>
      </c>
      <c r="F9" s="6" t="s">
        <v>700</v>
      </c>
      <c r="G9" s="6" t="s">
        <v>23</v>
      </c>
      <c r="H9" s="6" t="s">
        <v>80</v>
      </c>
      <c r="I9" s="7" t="s">
        <v>81</v>
      </c>
      <c r="J9" s="6" t="s">
        <v>27</v>
      </c>
      <c r="K9" s="6" t="s">
        <v>30</v>
      </c>
      <c r="L9" s="6" t="s">
        <v>29</v>
      </c>
      <c r="M9" s="6" t="s">
        <v>82</v>
      </c>
      <c r="N9" s="6" t="s">
        <v>83</v>
      </c>
      <c r="O9" s="6" t="s">
        <v>84</v>
      </c>
      <c r="P9" t="s">
        <v>85</v>
      </c>
      <c r="Q9"/>
      <c r="R9" t="s">
        <v>41</v>
      </c>
      <c r="S9"/>
    </row>
    <row r="10" spans="1:19" ht="54.75" customHeight="1" x14ac:dyDescent="0.3">
      <c r="A10" s="4">
        <v>8</v>
      </c>
      <c r="B10" s="5" t="s">
        <v>86</v>
      </c>
      <c r="C10" s="4">
        <v>2017</v>
      </c>
      <c r="D10" s="6" t="s">
        <v>87</v>
      </c>
      <c r="E10" s="6" t="s">
        <v>88</v>
      </c>
      <c r="F10" s="6" t="s">
        <v>89</v>
      </c>
      <c r="G10" s="6" t="s">
        <v>90</v>
      </c>
      <c r="H10" s="6" t="s">
        <v>91</v>
      </c>
      <c r="I10" s="7" t="s">
        <v>92</v>
      </c>
      <c r="J10" s="6" t="s">
        <v>73</v>
      </c>
      <c r="K10" s="6" t="s">
        <v>30</v>
      </c>
      <c r="L10" s="6" t="s">
        <v>29</v>
      </c>
      <c r="M10" s="6" t="s">
        <v>93</v>
      </c>
      <c r="N10" s="6" t="s">
        <v>94</v>
      </c>
      <c r="O10" s="6" t="s">
        <v>95</v>
      </c>
      <c r="P10" t="s">
        <v>96</v>
      </c>
      <c r="Q10"/>
      <c r="R10" t="s">
        <v>41</v>
      </c>
      <c r="S10"/>
    </row>
    <row r="11" spans="1:19" ht="96" customHeight="1" x14ac:dyDescent="0.3">
      <c r="A11" s="4">
        <v>9</v>
      </c>
      <c r="B11" s="5" t="s">
        <v>97</v>
      </c>
      <c r="C11" s="4">
        <v>2016</v>
      </c>
      <c r="D11" s="6" t="s">
        <v>98</v>
      </c>
      <c r="E11" s="6" t="s">
        <v>99</v>
      </c>
      <c r="F11" s="6" t="s">
        <v>100</v>
      </c>
      <c r="G11" s="6" t="s">
        <v>101</v>
      </c>
      <c r="H11" s="6" t="s">
        <v>102</v>
      </c>
      <c r="I11" s="7" t="s">
        <v>103</v>
      </c>
      <c r="J11" s="6" t="s">
        <v>27</v>
      </c>
      <c r="K11" s="6" t="s">
        <v>30</v>
      </c>
      <c r="L11" s="6" t="s">
        <v>29</v>
      </c>
      <c r="M11" s="6" t="s">
        <v>104</v>
      </c>
      <c r="N11" s="6" t="s">
        <v>105</v>
      </c>
      <c r="O11" s="6" t="s">
        <v>106</v>
      </c>
      <c r="P11" t="s">
        <v>107</v>
      </c>
      <c r="Q11"/>
      <c r="R11" t="s">
        <v>41</v>
      </c>
      <c r="S11"/>
    </row>
    <row r="12" spans="1:19" ht="81" customHeight="1" x14ac:dyDescent="0.3">
      <c r="A12" s="4">
        <v>10</v>
      </c>
      <c r="B12" s="5" t="s">
        <v>108</v>
      </c>
      <c r="C12" s="4">
        <v>2021</v>
      </c>
      <c r="D12" s="6" t="s">
        <v>109</v>
      </c>
      <c r="E12" s="6" t="s">
        <v>110</v>
      </c>
      <c r="F12" s="6" t="s">
        <v>45</v>
      </c>
      <c r="G12" s="6" t="s">
        <v>56</v>
      </c>
      <c r="H12" s="6" t="s">
        <v>111</v>
      </c>
      <c r="I12" s="7" t="s">
        <v>112</v>
      </c>
      <c r="J12" s="6" t="s">
        <v>113</v>
      </c>
      <c r="K12" s="6" t="s">
        <v>30</v>
      </c>
      <c r="L12" s="6" t="s">
        <v>29</v>
      </c>
      <c r="M12" s="6" t="s">
        <v>114</v>
      </c>
      <c r="N12" s="6" t="s">
        <v>115</v>
      </c>
      <c r="O12" s="6"/>
      <c r="P12"/>
      <c r="Q12"/>
      <c r="R12"/>
      <c r="S12"/>
    </row>
    <row r="13" spans="1:19" ht="68.25" customHeight="1" x14ac:dyDescent="0.3">
      <c r="A13" s="4">
        <v>11</v>
      </c>
      <c r="B13" s="5" t="s">
        <v>116</v>
      </c>
      <c r="C13" s="4">
        <v>2022</v>
      </c>
      <c r="D13" s="6" t="s">
        <v>117</v>
      </c>
      <c r="E13" s="6" t="s">
        <v>118</v>
      </c>
      <c r="F13" s="6" t="s">
        <v>45</v>
      </c>
      <c r="G13" s="6" t="s">
        <v>56</v>
      </c>
      <c r="H13" s="6" t="s">
        <v>119</v>
      </c>
      <c r="I13" s="7" t="s">
        <v>120</v>
      </c>
      <c r="J13" s="6" t="s">
        <v>113</v>
      </c>
      <c r="K13" s="6" t="s">
        <v>30</v>
      </c>
      <c r="L13" s="6" t="s">
        <v>29</v>
      </c>
      <c r="M13" s="6" t="s">
        <v>121</v>
      </c>
      <c r="N13" s="6" t="s">
        <v>122</v>
      </c>
      <c r="O13" s="6" t="s">
        <v>123</v>
      </c>
      <c r="P13"/>
      <c r="Q13"/>
      <c r="R13" t="s">
        <v>41</v>
      </c>
      <c r="S13" t="s">
        <v>124</v>
      </c>
    </row>
    <row r="14" spans="1:19" ht="41.25" customHeight="1" x14ac:dyDescent="0.3">
      <c r="A14" s="4">
        <v>12</v>
      </c>
      <c r="B14" s="5" t="s">
        <v>86</v>
      </c>
      <c r="C14" s="4">
        <v>2022</v>
      </c>
      <c r="D14" s="6" t="s">
        <v>125</v>
      </c>
      <c r="E14" s="6" t="s">
        <v>126</v>
      </c>
      <c r="F14" s="6" t="s">
        <v>45</v>
      </c>
      <c r="G14" s="6" t="s">
        <v>56</v>
      </c>
      <c r="H14" s="6" t="s">
        <v>127</v>
      </c>
      <c r="I14" s="7" t="s">
        <v>128</v>
      </c>
      <c r="J14" s="6" t="s">
        <v>129</v>
      </c>
      <c r="K14" s="6" t="s">
        <v>28</v>
      </c>
      <c r="L14" s="6" t="s">
        <v>29</v>
      </c>
      <c r="M14" s="6" t="s">
        <v>121</v>
      </c>
      <c r="N14" s="6" t="s">
        <v>130</v>
      </c>
      <c r="O14" s="6" t="s">
        <v>131</v>
      </c>
      <c r="P14"/>
      <c r="Q14"/>
      <c r="R14" s="1" t="s">
        <v>41</v>
      </c>
      <c r="S14" s="1" t="s">
        <v>132</v>
      </c>
    </row>
    <row r="15" spans="1:19" ht="41.25" customHeight="1" x14ac:dyDescent="0.3">
      <c r="A15" s="4">
        <v>13</v>
      </c>
      <c r="B15" s="5" t="s">
        <v>133</v>
      </c>
      <c r="C15" s="4">
        <v>2022</v>
      </c>
      <c r="D15" s="6" t="s">
        <v>134</v>
      </c>
      <c r="E15" s="6" t="s">
        <v>135</v>
      </c>
      <c r="F15" s="6" t="s">
        <v>45</v>
      </c>
      <c r="G15" s="6" t="s">
        <v>56</v>
      </c>
      <c r="H15" s="6" t="s">
        <v>136</v>
      </c>
      <c r="I15" s="7" t="s">
        <v>137</v>
      </c>
      <c r="J15" s="6" t="s">
        <v>73</v>
      </c>
      <c r="K15" s="6" t="s">
        <v>28</v>
      </c>
      <c r="L15" s="6" t="s">
        <v>29</v>
      </c>
      <c r="M15" s="6" t="s">
        <v>121</v>
      </c>
      <c r="N15" s="6" t="s">
        <v>138</v>
      </c>
      <c r="O15" s="6" t="s">
        <v>139</v>
      </c>
      <c r="P15"/>
      <c r="Q15"/>
      <c r="R15" s="1" t="s">
        <v>41</v>
      </c>
      <c r="S15" s="1" t="s">
        <v>140</v>
      </c>
    </row>
    <row r="16" spans="1:19" ht="54.75" customHeight="1" x14ac:dyDescent="0.3">
      <c r="A16" s="4">
        <v>14</v>
      </c>
      <c r="B16" s="5" t="s">
        <v>42</v>
      </c>
      <c r="C16" s="4">
        <v>2021</v>
      </c>
      <c r="D16" s="6" t="s">
        <v>141</v>
      </c>
      <c r="E16" s="6" t="s">
        <v>142</v>
      </c>
      <c r="F16" s="6" t="s">
        <v>700</v>
      </c>
      <c r="G16" s="6" t="s">
        <v>23</v>
      </c>
      <c r="H16" s="6" t="s">
        <v>143</v>
      </c>
      <c r="I16" s="7" t="s">
        <v>144</v>
      </c>
      <c r="J16" s="6" t="s">
        <v>73</v>
      </c>
      <c r="K16" s="6" t="s">
        <v>28</v>
      </c>
      <c r="L16" s="6" t="s">
        <v>29</v>
      </c>
      <c r="M16" s="6" t="s">
        <v>145</v>
      </c>
      <c r="N16" s="6" t="s">
        <v>146</v>
      </c>
      <c r="O16" s="6" t="s">
        <v>147</v>
      </c>
      <c r="P16" s="1" t="s">
        <v>148</v>
      </c>
      <c r="Q16"/>
      <c r="R16" s="1" t="s">
        <v>41</v>
      </c>
      <c r="S16"/>
    </row>
    <row r="17" spans="1:19" ht="41.25" customHeight="1" x14ac:dyDescent="0.3">
      <c r="A17" s="4">
        <v>15</v>
      </c>
      <c r="B17" s="5" t="s">
        <v>149</v>
      </c>
      <c r="C17" s="4">
        <v>2023</v>
      </c>
      <c r="D17" s="6" t="s">
        <v>150</v>
      </c>
      <c r="E17" s="6" t="s">
        <v>151</v>
      </c>
      <c r="F17" s="6" t="s">
        <v>45</v>
      </c>
      <c r="G17" s="6" t="s">
        <v>56</v>
      </c>
      <c r="H17" s="6" t="s">
        <v>152</v>
      </c>
      <c r="I17" s="7" t="s">
        <v>153</v>
      </c>
      <c r="J17" s="6" t="s">
        <v>73</v>
      </c>
      <c r="K17" s="6" t="s">
        <v>28</v>
      </c>
      <c r="L17" s="6" t="s">
        <v>29</v>
      </c>
      <c r="M17" s="6" t="s">
        <v>154</v>
      </c>
      <c r="N17" s="6" t="s">
        <v>155</v>
      </c>
      <c r="O17" s="6" t="s">
        <v>156</v>
      </c>
      <c r="P17" s="1" t="s">
        <v>157</v>
      </c>
      <c r="Q17"/>
      <c r="R17" s="1" t="s">
        <v>41</v>
      </c>
      <c r="S17"/>
    </row>
    <row r="18" spans="1:19" ht="41.25" customHeight="1" x14ac:dyDescent="0.3">
      <c r="A18" s="4">
        <v>16</v>
      </c>
      <c r="B18" s="5" t="s">
        <v>158</v>
      </c>
      <c r="C18" s="4">
        <v>2020</v>
      </c>
      <c r="D18" s="6" t="s">
        <v>159</v>
      </c>
      <c r="E18" s="6" t="s">
        <v>160</v>
      </c>
      <c r="F18" s="6" t="s">
        <v>700</v>
      </c>
      <c r="G18" s="6" t="s">
        <v>23</v>
      </c>
      <c r="H18" s="6" t="s">
        <v>161</v>
      </c>
      <c r="I18" s="7" t="s">
        <v>162</v>
      </c>
      <c r="J18" s="6"/>
      <c r="K18" s="6"/>
      <c r="L18" s="6"/>
      <c r="M18" s="6"/>
      <c r="N18" s="6"/>
      <c r="O18" s="6"/>
      <c r="P18"/>
      <c r="Q18"/>
      <c r="R18"/>
      <c r="S18"/>
    </row>
    <row r="19" spans="1:19" ht="41.25" customHeight="1" x14ac:dyDescent="0.3">
      <c r="A19" s="4">
        <v>17</v>
      </c>
      <c r="B19" s="5" t="s">
        <v>163</v>
      </c>
      <c r="C19" s="4">
        <v>2023</v>
      </c>
      <c r="D19" s="6" t="s">
        <v>164</v>
      </c>
      <c r="E19" s="6" t="s">
        <v>165</v>
      </c>
      <c r="F19" s="6" t="s">
        <v>700</v>
      </c>
      <c r="G19" s="6" t="s">
        <v>166</v>
      </c>
      <c r="H19" s="6" t="s">
        <v>167</v>
      </c>
      <c r="I19" s="7" t="s">
        <v>168</v>
      </c>
      <c r="J19" s="6" t="s">
        <v>73</v>
      </c>
      <c r="K19" s="6" t="s">
        <v>28</v>
      </c>
      <c r="L19" s="6" t="s">
        <v>29</v>
      </c>
      <c r="M19" s="6" t="s">
        <v>169</v>
      </c>
      <c r="N19" s="6" t="s">
        <v>170</v>
      </c>
      <c r="O19" s="6" t="s">
        <v>171</v>
      </c>
      <c r="P19" s="1" t="s">
        <v>172</v>
      </c>
      <c r="Q19"/>
      <c r="R19" s="1" t="s">
        <v>41</v>
      </c>
      <c r="S19"/>
    </row>
    <row r="20" spans="1:19" ht="41.25" customHeight="1" x14ac:dyDescent="0.3">
      <c r="A20" s="4">
        <v>18</v>
      </c>
      <c r="B20" s="5" t="s">
        <v>32</v>
      </c>
      <c r="C20" s="4">
        <v>2023</v>
      </c>
      <c r="D20" s="6" t="s">
        <v>173</v>
      </c>
      <c r="E20" s="6" t="s">
        <v>174</v>
      </c>
      <c r="F20" s="6" t="s">
        <v>700</v>
      </c>
      <c r="G20" s="6" t="s">
        <v>166</v>
      </c>
      <c r="H20" s="6" t="s">
        <v>175</v>
      </c>
      <c r="I20" s="7" t="s">
        <v>176</v>
      </c>
      <c r="J20" s="6" t="s">
        <v>73</v>
      </c>
      <c r="K20" s="6" t="s">
        <v>28</v>
      </c>
      <c r="L20" s="6" t="s">
        <v>30</v>
      </c>
      <c r="M20" s="6" t="s">
        <v>169</v>
      </c>
      <c r="N20" s="6" t="s">
        <v>177</v>
      </c>
      <c r="O20" s="6"/>
      <c r="P20" s="1" t="s">
        <v>178</v>
      </c>
      <c r="Q20"/>
      <c r="R20" s="1" t="s">
        <v>41</v>
      </c>
      <c r="S20"/>
    </row>
    <row r="21" spans="1:19" ht="41.25" customHeight="1" x14ac:dyDescent="0.3">
      <c r="A21" s="8">
        <v>19</v>
      </c>
      <c r="B21" s="9" t="s">
        <v>179</v>
      </c>
      <c r="C21" s="8">
        <v>2018</v>
      </c>
      <c r="D21" s="10" t="s">
        <v>180</v>
      </c>
      <c r="E21" s="10" t="s">
        <v>181</v>
      </c>
      <c r="F21" s="10" t="s">
        <v>700</v>
      </c>
      <c r="G21" s="10" t="s">
        <v>23</v>
      </c>
      <c r="H21" s="10" t="s">
        <v>182</v>
      </c>
      <c r="I21" s="11" t="s">
        <v>183</v>
      </c>
      <c r="J21" s="10" t="s">
        <v>184</v>
      </c>
      <c r="K21" s="10" t="s">
        <v>28</v>
      </c>
      <c r="L21" s="10" t="s">
        <v>29</v>
      </c>
      <c r="M21" s="10" t="s">
        <v>185</v>
      </c>
      <c r="N21" s="10" t="s">
        <v>186</v>
      </c>
      <c r="O21" s="6"/>
      <c r="P21"/>
      <c r="Q21"/>
      <c r="R21"/>
      <c r="S21"/>
    </row>
    <row r="22" spans="1:19" ht="41.25" customHeight="1" x14ac:dyDescent="0.3">
      <c r="A22" s="4">
        <v>20</v>
      </c>
      <c r="B22" s="5" t="s">
        <v>187</v>
      </c>
      <c r="C22" s="4">
        <v>2025</v>
      </c>
      <c r="D22" s="6" t="s">
        <v>188</v>
      </c>
      <c r="E22" s="6" t="s">
        <v>189</v>
      </c>
      <c r="F22" s="6" t="s">
        <v>700</v>
      </c>
      <c r="G22" s="6" t="s">
        <v>23</v>
      </c>
      <c r="H22" s="6" t="s">
        <v>190</v>
      </c>
      <c r="I22" s="7" t="s">
        <v>191</v>
      </c>
      <c r="J22" s="6" t="s">
        <v>192</v>
      </c>
      <c r="K22" s="6" t="s">
        <v>28</v>
      </c>
      <c r="L22" s="6" t="s">
        <v>29</v>
      </c>
      <c r="M22" s="6" t="s">
        <v>169</v>
      </c>
      <c r="N22" s="6" t="s">
        <v>193</v>
      </c>
      <c r="O22" s="6" t="s">
        <v>194</v>
      </c>
      <c r="P22" s="1" t="s">
        <v>195</v>
      </c>
      <c r="Q22"/>
      <c r="R22" s="1" t="s">
        <v>41</v>
      </c>
      <c r="S22"/>
    </row>
    <row r="23" spans="1:19" ht="41.25" customHeight="1" x14ac:dyDescent="0.3">
      <c r="A23" s="4">
        <v>21</v>
      </c>
      <c r="B23" s="5" t="s">
        <v>196</v>
      </c>
      <c r="C23" s="4">
        <v>2024</v>
      </c>
      <c r="D23" s="6" t="s">
        <v>197</v>
      </c>
      <c r="E23" s="6" t="s">
        <v>198</v>
      </c>
      <c r="F23" s="6" t="s">
        <v>700</v>
      </c>
      <c r="G23" s="6" t="s">
        <v>23</v>
      </c>
      <c r="H23" s="6" t="s">
        <v>199</v>
      </c>
      <c r="I23" s="7" t="s">
        <v>200</v>
      </c>
      <c r="J23" s="6" t="s">
        <v>73</v>
      </c>
      <c r="K23" s="6" t="s">
        <v>28</v>
      </c>
      <c r="L23" s="6" t="s">
        <v>29</v>
      </c>
      <c r="M23" s="6" t="s">
        <v>201</v>
      </c>
      <c r="N23" s="6" t="s">
        <v>202</v>
      </c>
      <c r="O23" s="6"/>
      <c r="P23" s="1" t="s">
        <v>203</v>
      </c>
      <c r="Q23"/>
      <c r="R23" s="1" t="s">
        <v>41</v>
      </c>
      <c r="S23"/>
    </row>
    <row r="24" spans="1:19" ht="54.75" customHeight="1" x14ac:dyDescent="0.3">
      <c r="A24" s="4">
        <v>22</v>
      </c>
      <c r="B24" s="5" t="s">
        <v>204</v>
      </c>
      <c r="C24" s="4">
        <v>2024</v>
      </c>
      <c r="D24" s="6" t="s">
        <v>205</v>
      </c>
      <c r="E24" s="6" t="s">
        <v>206</v>
      </c>
      <c r="F24" s="6" t="s">
        <v>417</v>
      </c>
      <c r="G24" s="6" t="s">
        <v>207</v>
      </c>
      <c r="H24" s="6" t="s">
        <v>208</v>
      </c>
      <c r="I24" s="7" t="s">
        <v>209</v>
      </c>
      <c r="J24" s="6" t="s">
        <v>49</v>
      </c>
      <c r="K24" s="6" t="s">
        <v>28</v>
      </c>
      <c r="L24" s="6" t="s">
        <v>210</v>
      </c>
      <c r="M24" s="6" t="s">
        <v>211</v>
      </c>
      <c r="N24" s="6" t="s">
        <v>212</v>
      </c>
      <c r="O24" s="6"/>
      <c r="P24"/>
      <c r="Q24" s="1" t="s">
        <v>213</v>
      </c>
      <c r="R24" s="1" t="s">
        <v>214</v>
      </c>
      <c r="S24"/>
    </row>
    <row r="25" spans="1:19" ht="41.25" customHeight="1" x14ac:dyDescent="0.3">
      <c r="A25" s="4">
        <v>23</v>
      </c>
      <c r="B25" s="5" t="s">
        <v>32</v>
      </c>
      <c r="C25" s="4">
        <v>2019</v>
      </c>
      <c r="D25" s="6" t="s">
        <v>215</v>
      </c>
      <c r="E25" s="6" t="s">
        <v>216</v>
      </c>
      <c r="F25" s="6" t="s">
        <v>700</v>
      </c>
      <c r="G25" s="6" t="s">
        <v>23</v>
      </c>
      <c r="H25" s="6" t="s">
        <v>182</v>
      </c>
      <c r="I25" s="7" t="s">
        <v>217</v>
      </c>
      <c r="J25" s="6" t="s">
        <v>37</v>
      </c>
      <c r="K25" s="6" t="s">
        <v>28</v>
      </c>
      <c r="L25" s="6" t="s">
        <v>218</v>
      </c>
      <c r="M25" s="6" t="s">
        <v>219</v>
      </c>
      <c r="N25" s="6" t="s">
        <v>220</v>
      </c>
      <c r="O25" s="6"/>
      <c r="P25" s="1" t="s">
        <v>221</v>
      </c>
      <c r="Q25"/>
      <c r="R25" s="1" t="s">
        <v>41</v>
      </c>
      <c r="S25"/>
    </row>
    <row r="26" spans="1:19" ht="41.25" customHeight="1" x14ac:dyDescent="0.3">
      <c r="A26" s="4">
        <v>24</v>
      </c>
      <c r="B26" s="5" t="s">
        <v>32</v>
      </c>
      <c r="C26" s="4">
        <v>2020</v>
      </c>
      <c r="D26" s="6" t="s">
        <v>222</v>
      </c>
      <c r="E26" s="6" t="s">
        <v>223</v>
      </c>
      <c r="F26" s="6" t="s">
        <v>700</v>
      </c>
      <c r="G26" s="6" t="s">
        <v>23</v>
      </c>
      <c r="H26" s="6" t="s">
        <v>224</v>
      </c>
      <c r="I26" s="7" t="s">
        <v>225</v>
      </c>
      <c r="J26" s="6"/>
      <c r="K26" s="6"/>
      <c r="L26" s="6"/>
      <c r="M26" s="6"/>
      <c r="N26" s="6"/>
      <c r="O26" s="6"/>
      <c r="P26"/>
      <c r="Q26"/>
      <c r="R26"/>
      <c r="S26"/>
    </row>
    <row r="27" spans="1:19" ht="41.25" customHeight="1" x14ac:dyDescent="0.3">
      <c r="A27" s="4">
        <v>25</v>
      </c>
      <c r="B27" s="5" t="s">
        <v>108</v>
      </c>
      <c r="C27" s="4">
        <v>2024</v>
      </c>
      <c r="D27" s="6" t="s">
        <v>226</v>
      </c>
      <c r="E27" s="6" t="s">
        <v>227</v>
      </c>
      <c r="F27" s="6" t="s">
        <v>700</v>
      </c>
      <c r="G27" s="6" t="s">
        <v>23</v>
      </c>
      <c r="H27" s="6" t="s">
        <v>228</v>
      </c>
      <c r="I27" s="7" t="s">
        <v>229</v>
      </c>
      <c r="J27" s="6" t="s">
        <v>27</v>
      </c>
      <c r="K27" s="6" t="s">
        <v>28</v>
      </c>
      <c r="L27" s="6" t="s">
        <v>29</v>
      </c>
      <c r="M27" s="6" t="s">
        <v>219</v>
      </c>
      <c r="N27" s="6" t="s">
        <v>230</v>
      </c>
      <c r="O27" s="6" t="s">
        <v>231</v>
      </c>
      <c r="P27" s="1" t="s">
        <v>232</v>
      </c>
      <c r="Q27"/>
      <c r="R27" s="1" t="s">
        <v>41</v>
      </c>
      <c r="S27"/>
    </row>
    <row r="28" spans="1:19" ht="41.25" customHeight="1" x14ac:dyDescent="0.3">
      <c r="A28" s="4">
        <v>26</v>
      </c>
      <c r="B28" s="5" t="s">
        <v>233</v>
      </c>
      <c r="C28" s="4">
        <v>2024</v>
      </c>
      <c r="D28" s="6" t="s">
        <v>234</v>
      </c>
      <c r="E28" s="6" t="s">
        <v>235</v>
      </c>
      <c r="F28" s="6" t="s">
        <v>700</v>
      </c>
      <c r="G28" s="6" t="s">
        <v>236</v>
      </c>
      <c r="H28" s="6" t="s">
        <v>237</v>
      </c>
      <c r="I28" s="7" t="s">
        <v>238</v>
      </c>
      <c r="J28" s="6"/>
      <c r="K28" s="6"/>
      <c r="L28" s="6"/>
      <c r="M28" s="6"/>
      <c r="N28" s="6"/>
      <c r="O28" s="6"/>
      <c r="P28"/>
      <c r="Q28"/>
      <c r="R28"/>
      <c r="S28"/>
    </row>
    <row r="29" spans="1:19" ht="41.25" customHeight="1" x14ac:dyDescent="0.3">
      <c r="A29" s="4">
        <v>27</v>
      </c>
      <c r="B29" s="5" t="s">
        <v>32</v>
      </c>
      <c r="C29" s="4">
        <v>2025</v>
      </c>
      <c r="D29" s="6" t="s">
        <v>239</v>
      </c>
      <c r="E29" s="6" t="s">
        <v>240</v>
      </c>
      <c r="F29" s="6" t="s">
        <v>700</v>
      </c>
      <c r="G29" s="6" t="s">
        <v>166</v>
      </c>
      <c r="H29" s="6" t="s">
        <v>241</v>
      </c>
      <c r="I29" s="7" t="s">
        <v>242</v>
      </c>
      <c r="J29" s="6"/>
      <c r="K29" s="6"/>
      <c r="L29" s="6"/>
      <c r="M29" s="6"/>
      <c r="N29" s="6"/>
      <c r="O29" s="6"/>
      <c r="P29"/>
      <c r="Q29"/>
      <c r="R29"/>
      <c r="S29"/>
    </row>
    <row r="30" spans="1:19" ht="81.75" customHeight="1" x14ac:dyDescent="0.3">
      <c r="A30" s="4">
        <v>28</v>
      </c>
      <c r="B30" s="5" t="s">
        <v>243</v>
      </c>
      <c r="C30" s="4">
        <v>2025</v>
      </c>
      <c r="D30" s="6" t="s">
        <v>244</v>
      </c>
      <c r="E30" s="6" t="s">
        <v>245</v>
      </c>
      <c r="F30" s="6" t="s">
        <v>700</v>
      </c>
      <c r="G30" s="6" t="s">
        <v>23</v>
      </c>
      <c r="H30" s="6" t="s">
        <v>246</v>
      </c>
      <c r="I30" s="7" t="s">
        <v>247</v>
      </c>
      <c r="J30" s="6"/>
      <c r="K30" s="6"/>
      <c r="L30" s="6"/>
      <c r="M30" s="6"/>
      <c r="N30" s="6"/>
      <c r="O30" s="6"/>
      <c r="P30"/>
      <c r="Q30"/>
      <c r="R30"/>
      <c r="S30"/>
    </row>
    <row r="31" spans="1:19" ht="41.25" customHeight="1" x14ac:dyDescent="0.3">
      <c r="A31" s="4">
        <v>29</v>
      </c>
      <c r="B31" s="5" t="s">
        <v>248</v>
      </c>
      <c r="C31" s="4">
        <v>2023</v>
      </c>
      <c r="D31" s="6" t="s">
        <v>249</v>
      </c>
      <c r="E31" s="6" t="s">
        <v>250</v>
      </c>
      <c r="F31" s="6" t="s">
        <v>45</v>
      </c>
      <c r="G31" s="6" t="s">
        <v>56</v>
      </c>
      <c r="H31" s="6" t="s">
        <v>251</v>
      </c>
      <c r="I31" s="7" t="s">
        <v>252</v>
      </c>
      <c r="J31" s="6" t="s">
        <v>253</v>
      </c>
      <c r="K31" s="6" t="s">
        <v>254</v>
      </c>
      <c r="L31" s="6" t="s">
        <v>29</v>
      </c>
      <c r="M31" s="6" t="s">
        <v>154</v>
      </c>
      <c r="N31" s="6" t="s">
        <v>255</v>
      </c>
      <c r="O31" s="6" t="s">
        <v>256</v>
      </c>
      <c r="P31"/>
      <c r="Q31"/>
      <c r="R31"/>
      <c r="S31"/>
    </row>
    <row r="32" spans="1:19" ht="54.75" customHeight="1" x14ac:dyDescent="0.3">
      <c r="A32" s="4">
        <v>30</v>
      </c>
      <c r="B32" s="5" t="s">
        <v>233</v>
      </c>
      <c r="C32" s="4">
        <v>2023</v>
      </c>
      <c r="D32" s="6" t="s">
        <v>257</v>
      </c>
      <c r="E32" s="6" t="s">
        <v>258</v>
      </c>
      <c r="F32" s="6" t="s">
        <v>45</v>
      </c>
      <c r="G32" s="6" t="s">
        <v>56</v>
      </c>
      <c r="H32" s="6" t="s">
        <v>259</v>
      </c>
      <c r="I32" s="7" t="s">
        <v>260</v>
      </c>
      <c r="J32" s="6" t="s">
        <v>261</v>
      </c>
      <c r="K32" s="6" t="s">
        <v>262</v>
      </c>
      <c r="L32" s="6" t="s">
        <v>29</v>
      </c>
      <c r="M32" s="6" t="s">
        <v>121</v>
      </c>
      <c r="N32" s="6" t="s">
        <v>263</v>
      </c>
      <c r="O32" s="6" t="s">
        <v>264</v>
      </c>
      <c r="P32"/>
      <c r="Q32"/>
      <c r="R32"/>
      <c r="S32" s="1" t="s">
        <v>265</v>
      </c>
    </row>
    <row r="33" spans="1:19" ht="135.75" customHeight="1" x14ac:dyDescent="0.3">
      <c r="A33" s="4">
        <v>31</v>
      </c>
      <c r="B33" s="5" t="s">
        <v>266</v>
      </c>
      <c r="C33" s="4">
        <v>2025</v>
      </c>
      <c r="D33" s="6" t="s">
        <v>267</v>
      </c>
      <c r="E33" s="6" t="s">
        <v>268</v>
      </c>
      <c r="F33" s="6" t="s">
        <v>45</v>
      </c>
      <c r="G33" s="6" t="s">
        <v>56</v>
      </c>
      <c r="H33" s="6" t="s">
        <v>269</v>
      </c>
      <c r="I33" s="7" t="s">
        <v>270</v>
      </c>
      <c r="J33" s="6" t="s">
        <v>271</v>
      </c>
      <c r="K33" s="6" t="s">
        <v>28</v>
      </c>
      <c r="L33" s="6" t="s">
        <v>29</v>
      </c>
      <c r="M33" s="6" t="s">
        <v>272</v>
      </c>
      <c r="N33" s="6" t="s">
        <v>273</v>
      </c>
      <c r="O33" s="6" t="s">
        <v>274</v>
      </c>
      <c r="P33"/>
      <c r="Q33"/>
      <c r="R33"/>
      <c r="S33" s="6" t="s">
        <v>275</v>
      </c>
    </row>
    <row r="34" spans="1:19" ht="60" customHeight="1" x14ac:dyDescent="0.3">
      <c r="A34" s="4">
        <v>32</v>
      </c>
      <c r="B34" s="5" t="s">
        <v>276</v>
      </c>
      <c r="C34" s="4">
        <v>2023</v>
      </c>
      <c r="D34" s="6" t="s">
        <v>277</v>
      </c>
      <c r="E34" s="6" t="s">
        <v>278</v>
      </c>
      <c r="F34" s="6" t="s">
        <v>417</v>
      </c>
      <c r="G34" s="6" t="s">
        <v>279</v>
      </c>
      <c r="H34" s="6" t="s">
        <v>280</v>
      </c>
      <c r="I34" s="7" t="s">
        <v>281</v>
      </c>
      <c r="J34" s="6" t="s">
        <v>282</v>
      </c>
      <c r="K34" s="6" t="s">
        <v>28</v>
      </c>
      <c r="L34" s="6" t="s">
        <v>29</v>
      </c>
      <c r="M34" s="6" t="s">
        <v>211</v>
      </c>
      <c r="N34" s="6" t="s">
        <v>283</v>
      </c>
      <c r="O34" s="6"/>
      <c r="P34" s="6"/>
      <c r="Q34" s="6" t="s">
        <v>284</v>
      </c>
      <c r="R34" s="1" t="s">
        <v>285</v>
      </c>
      <c r="S34"/>
    </row>
    <row r="35" spans="1:19" ht="81.75" customHeight="1" x14ac:dyDescent="0.3">
      <c r="A35" s="4">
        <v>33</v>
      </c>
      <c r="B35" s="5" t="s">
        <v>42</v>
      </c>
      <c r="C35" s="4">
        <v>2024</v>
      </c>
      <c r="D35" s="6" t="s">
        <v>286</v>
      </c>
      <c r="E35" s="6" t="s">
        <v>287</v>
      </c>
      <c r="F35" s="6" t="s">
        <v>45</v>
      </c>
      <c r="G35" s="6" t="s">
        <v>56</v>
      </c>
      <c r="H35" s="6" t="s">
        <v>288</v>
      </c>
      <c r="I35" s="7" t="s">
        <v>289</v>
      </c>
      <c r="J35" s="6" t="s">
        <v>271</v>
      </c>
      <c r="K35" s="6" t="s">
        <v>28</v>
      </c>
      <c r="L35" s="6" t="s">
        <v>29</v>
      </c>
      <c r="M35" s="6" t="s">
        <v>121</v>
      </c>
      <c r="N35" s="6" t="s">
        <v>290</v>
      </c>
      <c r="O35" s="6" t="s">
        <v>291</v>
      </c>
      <c r="P35"/>
      <c r="Q35"/>
      <c r="R35" s="1" t="s">
        <v>25</v>
      </c>
      <c r="S35" s="6" t="s">
        <v>292</v>
      </c>
    </row>
    <row r="36" spans="1:19" ht="135.75" customHeight="1" x14ac:dyDescent="0.3">
      <c r="A36" s="4">
        <v>34</v>
      </c>
      <c r="B36" s="5" t="s">
        <v>293</v>
      </c>
      <c r="C36" s="4">
        <v>2025</v>
      </c>
      <c r="D36" s="6" t="s">
        <v>294</v>
      </c>
      <c r="E36" s="6" t="s">
        <v>295</v>
      </c>
      <c r="F36" s="6" t="s">
        <v>417</v>
      </c>
      <c r="G36" s="6" t="s">
        <v>296</v>
      </c>
      <c r="H36" s="6" t="s">
        <v>297</v>
      </c>
      <c r="I36" s="7" t="s">
        <v>298</v>
      </c>
      <c r="J36" s="6" t="s">
        <v>299</v>
      </c>
      <c r="K36" s="6" t="s">
        <v>28</v>
      </c>
      <c r="L36" s="6" t="s">
        <v>29</v>
      </c>
      <c r="M36" s="6" t="s">
        <v>169</v>
      </c>
      <c r="N36" s="6" t="s">
        <v>300</v>
      </c>
      <c r="O36" s="6" t="s">
        <v>301</v>
      </c>
      <c r="P36" s="6" t="s">
        <v>302</v>
      </c>
      <c r="Q36" s="6" t="s">
        <v>303</v>
      </c>
      <c r="R36"/>
      <c r="S36"/>
    </row>
    <row r="37" spans="1:19" ht="68.25" customHeight="1" x14ac:dyDescent="0.3">
      <c r="A37" s="4">
        <v>35</v>
      </c>
      <c r="B37" s="5" t="s">
        <v>248</v>
      </c>
      <c r="C37" s="4">
        <v>2022</v>
      </c>
      <c r="D37" s="6" t="s">
        <v>304</v>
      </c>
      <c r="E37" s="6" t="s">
        <v>305</v>
      </c>
      <c r="F37" s="6" t="s">
        <v>45</v>
      </c>
      <c r="G37" s="6" t="s">
        <v>56</v>
      </c>
      <c r="H37" s="6" t="s">
        <v>306</v>
      </c>
      <c r="I37" s="7" t="s">
        <v>307</v>
      </c>
      <c r="J37" s="6" t="s">
        <v>308</v>
      </c>
      <c r="K37" s="6" t="s">
        <v>309</v>
      </c>
      <c r="L37" s="6" t="s">
        <v>29</v>
      </c>
      <c r="M37" s="6" t="s">
        <v>154</v>
      </c>
      <c r="N37" s="6" t="s">
        <v>310</v>
      </c>
      <c r="O37" s="6" t="s">
        <v>311</v>
      </c>
      <c r="P37"/>
      <c r="Q37"/>
      <c r="R37"/>
      <c r="S37"/>
    </row>
    <row r="38" spans="1:19" ht="41.25" customHeight="1" x14ac:dyDescent="0.3">
      <c r="A38" s="4">
        <v>36</v>
      </c>
      <c r="B38" s="5" t="s">
        <v>312</v>
      </c>
      <c r="C38" s="4">
        <v>2019</v>
      </c>
      <c r="D38" s="6" t="s">
        <v>313</v>
      </c>
      <c r="E38" s="6" t="s">
        <v>314</v>
      </c>
      <c r="F38" s="6" t="s">
        <v>45</v>
      </c>
      <c r="G38" s="6" t="s">
        <v>315</v>
      </c>
      <c r="H38" s="6" t="s">
        <v>316</v>
      </c>
      <c r="I38" s="7" t="s">
        <v>317</v>
      </c>
      <c r="J38" s="6" t="s">
        <v>318</v>
      </c>
      <c r="K38" s="6" t="s">
        <v>28</v>
      </c>
      <c r="L38" s="6" t="s">
        <v>29</v>
      </c>
      <c r="M38" s="6" t="s">
        <v>319</v>
      </c>
      <c r="N38" s="6" t="s">
        <v>320</v>
      </c>
      <c r="O38" s="6" t="s">
        <v>321</v>
      </c>
      <c r="P38"/>
      <c r="Q38"/>
      <c r="R38"/>
      <c r="S38" s="1" t="s">
        <v>322</v>
      </c>
    </row>
    <row r="39" spans="1:19" ht="54.75" customHeight="1" x14ac:dyDescent="0.3">
      <c r="A39" s="4">
        <v>37</v>
      </c>
      <c r="B39" s="5" t="s">
        <v>323</v>
      </c>
      <c r="C39" s="4">
        <v>2026</v>
      </c>
      <c r="D39" s="6" t="s">
        <v>324</v>
      </c>
      <c r="E39" s="6" t="s">
        <v>325</v>
      </c>
      <c r="F39" s="6" t="s">
        <v>417</v>
      </c>
      <c r="G39" s="6" t="s">
        <v>326</v>
      </c>
      <c r="H39" s="6" t="s">
        <v>327</v>
      </c>
      <c r="I39" s="7" t="s">
        <v>328</v>
      </c>
      <c r="J39" s="6" t="s">
        <v>329</v>
      </c>
      <c r="K39" s="6" t="s">
        <v>28</v>
      </c>
      <c r="L39" s="6" t="s">
        <v>29</v>
      </c>
      <c r="M39" s="6" t="s">
        <v>154</v>
      </c>
      <c r="N39" s="6" t="s">
        <v>330</v>
      </c>
      <c r="O39" s="6" t="s">
        <v>331</v>
      </c>
      <c r="P39"/>
      <c r="Q39"/>
      <c r="R39"/>
      <c r="S39"/>
    </row>
    <row r="40" spans="1:19" ht="41.25" customHeight="1" x14ac:dyDescent="0.3">
      <c r="A40" s="4">
        <v>38</v>
      </c>
      <c r="B40" s="5" t="s">
        <v>42</v>
      </c>
      <c r="C40" s="4">
        <v>2025</v>
      </c>
      <c r="D40" s="6" t="s">
        <v>332</v>
      </c>
      <c r="E40" s="6" t="s">
        <v>333</v>
      </c>
      <c r="F40" s="6" t="s">
        <v>45</v>
      </c>
      <c r="G40" s="6" t="s">
        <v>56</v>
      </c>
      <c r="H40" s="6" t="s">
        <v>334</v>
      </c>
      <c r="I40" s="7" t="s">
        <v>335</v>
      </c>
      <c r="J40" s="6" t="s">
        <v>336</v>
      </c>
      <c r="K40" s="6" t="s">
        <v>28</v>
      </c>
      <c r="L40" s="6" t="s">
        <v>29</v>
      </c>
      <c r="M40" s="6" t="s">
        <v>121</v>
      </c>
      <c r="N40" s="6" t="s">
        <v>337</v>
      </c>
      <c r="O40" s="6" t="s">
        <v>338</v>
      </c>
      <c r="P40"/>
      <c r="Q40"/>
      <c r="R40"/>
      <c r="S40" s="1" t="s">
        <v>339</v>
      </c>
    </row>
    <row r="41" spans="1:19" ht="54.75" customHeight="1" x14ac:dyDescent="0.3">
      <c r="A41" s="4">
        <v>39</v>
      </c>
      <c r="B41" s="5" t="s">
        <v>340</v>
      </c>
      <c r="C41" s="4">
        <v>2025</v>
      </c>
      <c r="D41" s="6" t="s">
        <v>341</v>
      </c>
      <c r="E41" s="6" t="s">
        <v>342</v>
      </c>
      <c r="F41" s="6" t="s">
        <v>45</v>
      </c>
      <c r="G41" s="6" t="s">
        <v>56</v>
      </c>
      <c r="H41" s="6" t="s">
        <v>343</v>
      </c>
      <c r="I41" s="7" t="s">
        <v>344</v>
      </c>
      <c r="J41" s="6" t="s">
        <v>345</v>
      </c>
      <c r="K41" s="6" t="s">
        <v>346</v>
      </c>
      <c r="L41" s="6" t="s">
        <v>29</v>
      </c>
      <c r="M41" s="6" t="s">
        <v>693</v>
      </c>
      <c r="N41" s="6" t="s">
        <v>347</v>
      </c>
      <c r="O41" s="6" t="s">
        <v>348</v>
      </c>
      <c r="P41"/>
      <c r="Q41"/>
      <c r="R41" s="1" t="s">
        <v>41</v>
      </c>
      <c r="S41" s="1" t="s">
        <v>349</v>
      </c>
    </row>
    <row r="42" spans="1:19" ht="54.75" customHeight="1" x14ac:dyDescent="0.3">
      <c r="A42" s="4">
        <v>40</v>
      </c>
      <c r="B42" s="5" t="s">
        <v>350</v>
      </c>
      <c r="C42" s="4">
        <v>2017</v>
      </c>
      <c r="D42" s="6" t="s">
        <v>351</v>
      </c>
      <c r="E42" s="6" t="s">
        <v>352</v>
      </c>
      <c r="F42" s="6" t="s">
        <v>45</v>
      </c>
      <c r="G42" s="6" t="s">
        <v>353</v>
      </c>
      <c r="H42" s="6" t="s">
        <v>354</v>
      </c>
      <c r="I42" s="7" t="s">
        <v>355</v>
      </c>
      <c r="J42" s="6" t="s">
        <v>356</v>
      </c>
      <c r="K42" s="6" t="s">
        <v>28</v>
      </c>
      <c r="L42" s="6" t="s">
        <v>29</v>
      </c>
      <c r="M42" s="6" t="s">
        <v>30</v>
      </c>
      <c r="N42" s="6"/>
      <c r="O42" s="6"/>
      <c r="P42"/>
      <c r="Q42"/>
      <c r="R42"/>
      <c r="S42"/>
    </row>
    <row r="43" spans="1:19" ht="41.25" customHeight="1" x14ac:dyDescent="0.3">
      <c r="A43" s="4">
        <v>41</v>
      </c>
      <c r="B43" s="5" t="s">
        <v>357</v>
      </c>
      <c r="C43" s="4">
        <v>2021</v>
      </c>
      <c r="D43" s="6" t="s">
        <v>358</v>
      </c>
      <c r="E43" s="6" t="s">
        <v>359</v>
      </c>
      <c r="F43" s="6" t="s">
        <v>45</v>
      </c>
      <c r="G43" s="6" t="s">
        <v>56</v>
      </c>
      <c r="H43" s="6" t="s">
        <v>360</v>
      </c>
      <c r="I43" s="7" t="s">
        <v>361</v>
      </c>
      <c r="J43" s="6" t="s">
        <v>362</v>
      </c>
      <c r="K43" s="6" t="s">
        <v>28</v>
      </c>
      <c r="L43" s="6" t="s">
        <v>29</v>
      </c>
      <c r="M43" s="6" t="s">
        <v>30</v>
      </c>
      <c r="N43" s="6"/>
      <c r="O43" s="6"/>
      <c r="P43"/>
      <c r="Q43"/>
      <c r="R43"/>
      <c r="S43"/>
    </row>
    <row r="44" spans="1:19" ht="41.25" customHeight="1" x14ac:dyDescent="0.3">
      <c r="A44" s="4">
        <v>42</v>
      </c>
      <c r="B44" s="5" t="s">
        <v>340</v>
      </c>
      <c r="C44" s="4">
        <v>2024</v>
      </c>
      <c r="D44" s="6" t="s">
        <v>363</v>
      </c>
      <c r="E44" s="6" t="s">
        <v>364</v>
      </c>
      <c r="F44" s="6" t="s">
        <v>45</v>
      </c>
      <c r="G44" s="6" t="s">
        <v>56</v>
      </c>
      <c r="H44" s="6" t="s">
        <v>365</v>
      </c>
      <c r="I44" s="7" t="s">
        <v>366</v>
      </c>
      <c r="J44" s="6" t="s">
        <v>367</v>
      </c>
      <c r="K44" s="6" t="s">
        <v>368</v>
      </c>
      <c r="L44" s="6" t="s">
        <v>29</v>
      </c>
      <c r="M44" s="6" t="s">
        <v>154</v>
      </c>
      <c r="N44" s="6" t="s">
        <v>369</v>
      </c>
      <c r="O44" s="6" t="s">
        <v>370</v>
      </c>
      <c r="P44"/>
      <c r="Q44"/>
      <c r="R44"/>
      <c r="S44"/>
    </row>
    <row r="45" spans="1:19" ht="41.25" customHeight="1" x14ac:dyDescent="0.3">
      <c r="A45" s="4">
        <v>43</v>
      </c>
      <c r="B45" s="5" t="s">
        <v>371</v>
      </c>
      <c r="C45" s="4">
        <v>2025</v>
      </c>
      <c r="D45" s="6" t="s">
        <v>372</v>
      </c>
      <c r="E45" s="6" t="s">
        <v>373</v>
      </c>
      <c r="F45" s="6" t="s">
        <v>45</v>
      </c>
      <c r="G45" s="6" t="s">
        <v>56</v>
      </c>
      <c r="H45" s="6" t="s">
        <v>374</v>
      </c>
      <c r="I45" s="7" t="s">
        <v>375</v>
      </c>
      <c r="J45" s="6" t="s">
        <v>376</v>
      </c>
      <c r="K45" s="6" t="s">
        <v>28</v>
      </c>
      <c r="L45" s="6" t="s">
        <v>29</v>
      </c>
      <c r="M45" s="6" t="s">
        <v>694</v>
      </c>
      <c r="N45" s="6" t="s">
        <v>377</v>
      </c>
      <c r="O45" s="6" t="s">
        <v>378</v>
      </c>
      <c r="P45"/>
      <c r="Q45"/>
      <c r="R45"/>
      <c r="S45" s="1" t="s">
        <v>379</v>
      </c>
    </row>
    <row r="46" spans="1:19" ht="41.25" customHeight="1" x14ac:dyDescent="0.3">
      <c r="A46" s="4">
        <v>44</v>
      </c>
      <c r="B46" s="5" t="s">
        <v>380</v>
      </c>
      <c r="C46" s="4">
        <v>2025</v>
      </c>
      <c r="D46" s="6" t="s">
        <v>381</v>
      </c>
      <c r="E46" s="6" t="s">
        <v>382</v>
      </c>
      <c r="F46" s="6" t="s">
        <v>45</v>
      </c>
      <c r="G46" s="6" t="s">
        <v>56</v>
      </c>
      <c r="H46" s="6" t="s">
        <v>383</v>
      </c>
      <c r="I46" s="7" t="s">
        <v>384</v>
      </c>
      <c r="J46" s="6" t="s">
        <v>367</v>
      </c>
      <c r="K46" s="6" t="s">
        <v>119</v>
      </c>
      <c r="L46" s="6" t="s">
        <v>29</v>
      </c>
      <c r="M46" s="6" t="s">
        <v>154</v>
      </c>
      <c r="N46" s="6" t="s">
        <v>385</v>
      </c>
      <c r="O46" s="6" t="s">
        <v>386</v>
      </c>
      <c r="P46" s="1" t="s">
        <v>387</v>
      </c>
      <c r="Q46"/>
      <c r="R46" s="1" t="s">
        <v>41</v>
      </c>
      <c r="S46"/>
    </row>
    <row r="47" spans="1:19" ht="27.75" customHeight="1" x14ac:dyDescent="0.3">
      <c r="A47" s="12">
        <v>45</v>
      </c>
      <c r="B47" s="13" t="s">
        <v>388</v>
      </c>
      <c r="C47" s="12">
        <v>2025</v>
      </c>
      <c r="D47" s="14" t="s">
        <v>389</v>
      </c>
      <c r="E47" s="14" t="s">
        <v>390</v>
      </c>
      <c r="F47" s="14" t="s">
        <v>700</v>
      </c>
      <c r="G47" s="14" t="s">
        <v>391</v>
      </c>
      <c r="H47" s="14" t="s">
        <v>392</v>
      </c>
      <c r="I47" s="15" t="s">
        <v>393</v>
      </c>
      <c r="J47" s="14"/>
      <c r="K47" s="14"/>
      <c r="L47" s="14"/>
      <c r="M47" s="14"/>
      <c r="N47" s="14"/>
      <c r="O47" s="6"/>
      <c r="P47"/>
      <c r="Q47"/>
      <c r="R47"/>
      <c r="S47"/>
    </row>
    <row r="48" spans="1:19" ht="68.25" customHeight="1" x14ac:dyDescent="0.3">
      <c r="A48" s="8">
        <v>46</v>
      </c>
      <c r="B48" s="9" t="s">
        <v>394</v>
      </c>
      <c r="C48" s="8">
        <v>2026</v>
      </c>
      <c r="D48" s="10" t="s">
        <v>395</v>
      </c>
      <c r="E48" s="10" t="s">
        <v>396</v>
      </c>
      <c r="F48" s="10" t="s">
        <v>700</v>
      </c>
      <c r="G48" s="10" t="s">
        <v>23</v>
      </c>
      <c r="H48" s="10" t="s">
        <v>397</v>
      </c>
      <c r="I48" s="11" t="s">
        <v>398</v>
      </c>
      <c r="J48" s="10" t="s">
        <v>27</v>
      </c>
      <c r="K48" s="10" t="s">
        <v>28</v>
      </c>
      <c r="L48" s="10" t="s">
        <v>30</v>
      </c>
      <c r="M48" s="10" t="s">
        <v>219</v>
      </c>
      <c r="N48" s="10" t="s">
        <v>399</v>
      </c>
      <c r="O48" s="6"/>
      <c r="P48" s="1" t="s">
        <v>400</v>
      </c>
      <c r="Q48"/>
      <c r="R48" s="1" t="s">
        <v>41</v>
      </c>
      <c r="S48"/>
    </row>
  </sheetData>
  <mergeCells count="1">
    <mergeCell ref="A1:E1"/>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138F0-6848-4B78-9AEC-3735FE2FDB97}">
  <dimension ref="A1:B74"/>
  <sheetViews>
    <sheetView workbookViewId="0">
      <selection activeCell="K30" sqref="K30"/>
    </sheetView>
  </sheetViews>
  <sheetFormatPr defaultRowHeight="12.5" x14ac:dyDescent="0.25"/>
  <cols>
    <col min="1" max="1" width="30.81640625" customWidth="1"/>
  </cols>
  <sheetData>
    <row r="1" spans="1:2" x14ac:dyDescent="0.25">
      <c r="A1" t="s">
        <v>7</v>
      </c>
      <c r="B1" t="s">
        <v>727</v>
      </c>
    </row>
    <row r="2" spans="1:2" x14ac:dyDescent="0.25">
      <c r="A2" t="s">
        <v>24</v>
      </c>
      <c r="B2" t="s">
        <v>702</v>
      </c>
    </row>
    <row r="3" spans="1:2" x14ac:dyDescent="0.25">
      <c r="A3" t="s">
        <v>35</v>
      </c>
      <c r="B3" t="s">
        <v>703</v>
      </c>
    </row>
    <row r="4" spans="1:2" x14ac:dyDescent="0.25">
      <c r="A4" t="s">
        <v>47</v>
      </c>
      <c r="B4" t="s">
        <v>702</v>
      </c>
    </row>
    <row r="5" spans="1:2" x14ac:dyDescent="0.25">
      <c r="A5" t="s">
        <v>57</v>
      </c>
      <c r="B5" t="s">
        <v>704</v>
      </c>
    </row>
    <row r="6" spans="1:2" x14ac:dyDescent="0.25">
      <c r="A6" t="s">
        <v>64</v>
      </c>
      <c r="B6" t="s">
        <v>705</v>
      </c>
    </row>
    <row r="7" spans="1:2" x14ac:dyDescent="0.25">
      <c r="A7" t="s">
        <v>71</v>
      </c>
      <c r="B7" t="s">
        <v>706</v>
      </c>
    </row>
    <row r="8" spans="1:2" x14ac:dyDescent="0.25">
      <c r="A8" t="s">
        <v>80</v>
      </c>
      <c r="B8" t="s">
        <v>707</v>
      </c>
    </row>
    <row r="9" spans="1:2" x14ac:dyDescent="0.25">
      <c r="A9" t="s">
        <v>91</v>
      </c>
      <c r="B9" t="s">
        <v>708</v>
      </c>
    </row>
    <row r="10" spans="1:2" x14ac:dyDescent="0.25">
      <c r="A10" t="s">
        <v>649</v>
      </c>
      <c r="B10" t="s">
        <v>702</v>
      </c>
    </row>
    <row r="11" spans="1:2" x14ac:dyDescent="0.25">
      <c r="A11" t="s">
        <v>652</v>
      </c>
      <c r="B11" t="s">
        <v>709</v>
      </c>
    </row>
    <row r="12" spans="1:2" x14ac:dyDescent="0.25">
      <c r="A12" t="s">
        <v>111</v>
      </c>
      <c r="B12" t="s">
        <v>705</v>
      </c>
    </row>
    <row r="13" spans="1:2" x14ac:dyDescent="0.25">
      <c r="A13" t="s">
        <v>119</v>
      </c>
      <c r="B13" t="s">
        <v>705</v>
      </c>
    </row>
    <row r="14" spans="1:2" x14ac:dyDescent="0.25">
      <c r="A14" t="s">
        <v>127</v>
      </c>
      <c r="B14" t="s">
        <v>704</v>
      </c>
    </row>
    <row r="15" spans="1:2" x14ac:dyDescent="0.25">
      <c r="A15" t="s">
        <v>136</v>
      </c>
      <c r="B15" t="s">
        <v>710</v>
      </c>
    </row>
    <row r="16" spans="1:2" x14ac:dyDescent="0.25">
      <c r="A16" t="s">
        <v>621</v>
      </c>
      <c r="B16" t="s">
        <v>708</v>
      </c>
    </row>
    <row r="17" spans="1:2" x14ac:dyDescent="0.25">
      <c r="A17" t="s">
        <v>623</v>
      </c>
      <c r="B17" t="s">
        <v>708</v>
      </c>
    </row>
    <row r="18" spans="1:2" x14ac:dyDescent="0.25">
      <c r="A18" t="s">
        <v>152</v>
      </c>
      <c r="B18" t="s">
        <v>711</v>
      </c>
    </row>
    <row r="19" spans="1:2" x14ac:dyDescent="0.25">
      <c r="A19" t="s">
        <v>568</v>
      </c>
      <c r="B19" t="s">
        <v>711</v>
      </c>
    </row>
    <row r="20" spans="1:2" x14ac:dyDescent="0.25">
      <c r="A20" t="s">
        <v>570</v>
      </c>
      <c r="B20" t="s">
        <v>711</v>
      </c>
    </row>
    <row r="21" spans="1:2" x14ac:dyDescent="0.25">
      <c r="A21" t="s">
        <v>573</v>
      </c>
      <c r="B21" t="s">
        <v>711</v>
      </c>
    </row>
    <row r="22" spans="1:2" x14ac:dyDescent="0.25">
      <c r="A22" t="s">
        <v>571</v>
      </c>
      <c r="B22" t="s">
        <v>711</v>
      </c>
    </row>
    <row r="23" spans="1:2" x14ac:dyDescent="0.25">
      <c r="A23" t="s">
        <v>572</v>
      </c>
      <c r="B23" t="s">
        <v>711</v>
      </c>
    </row>
    <row r="24" spans="1:2" x14ac:dyDescent="0.25">
      <c r="A24" t="s">
        <v>574</v>
      </c>
      <c r="B24" t="s">
        <v>711</v>
      </c>
    </row>
    <row r="25" spans="1:2" x14ac:dyDescent="0.25">
      <c r="A25" t="s">
        <v>712</v>
      </c>
      <c r="B25" t="s">
        <v>704</v>
      </c>
    </row>
    <row r="26" spans="1:2" x14ac:dyDescent="0.25">
      <c r="A26" t="s">
        <v>713</v>
      </c>
      <c r="B26" t="s">
        <v>707</v>
      </c>
    </row>
    <row r="27" spans="1:2" x14ac:dyDescent="0.25">
      <c r="A27" t="s">
        <v>182</v>
      </c>
      <c r="B27" t="s">
        <v>703</v>
      </c>
    </row>
    <row r="28" spans="1:2" x14ac:dyDescent="0.25">
      <c r="A28" t="s">
        <v>601</v>
      </c>
      <c r="B28" t="s">
        <v>708</v>
      </c>
    </row>
    <row r="29" spans="1:2" x14ac:dyDescent="0.25">
      <c r="A29" t="s">
        <v>588</v>
      </c>
      <c r="B29" t="s">
        <v>709</v>
      </c>
    </row>
    <row r="30" spans="1:2" x14ac:dyDescent="0.25">
      <c r="A30" t="s">
        <v>592</v>
      </c>
      <c r="B30" t="s">
        <v>706</v>
      </c>
    </row>
    <row r="31" spans="1:2" x14ac:dyDescent="0.25">
      <c r="A31" t="s">
        <v>594</v>
      </c>
      <c r="B31" t="s">
        <v>714</v>
      </c>
    </row>
    <row r="32" spans="1:2" x14ac:dyDescent="0.25">
      <c r="A32" t="s">
        <v>595</v>
      </c>
      <c r="B32" t="s">
        <v>708</v>
      </c>
    </row>
    <row r="33" spans="1:2" x14ac:dyDescent="0.25">
      <c r="A33" t="s">
        <v>596</v>
      </c>
      <c r="B33" t="s">
        <v>708</v>
      </c>
    </row>
    <row r="34" spans="1:2" x14ac:dyDescent="0.25">
      <c r="A34" t="s">
        <v>597</v>
      </c>
      <c r="B34" t="s">
        <v>711</v>
      </c>
    </row>
    <row r="35" spans="1:2" x14ac:dyDescent="0.25">
      <c r="A35" t="s">
        <v>598</v>
      </c>
      <c r="B35" t="s">
        <v>715</v>
      </c>
    </row>
    <row r="36" spans="1:2" x14ac:dyDescent="0.25">
      <c r="A36" t="s">
        <v>599</v>
      </c>
      <c r="B36" t="s">
        <v>705</v>
      </c>
    </row>
    <row r="37" spans="1:2" x14ac:dyDescent="0.25">
      <c r="A37" t="s">
        <v>600</v>
      </c>
      <c r="B37" t="s">
        <v>716</v>
      </c>
    </row>
    <row r="38" spans="1:2" x14ac:dyDescent="0.25">
      <c r="A38" t="s">
        <v>602</v>
      </c>
      <c r="B38" t="s">
        <v>708</v>
      </c>
    </row>
    <row r="39" spans="1:2" x14ac:dyDescent="0.25">
      <c r="A39" t="s">
        <v>603</v>
      </c>
      <c r="B39" t="s">
        <v>711</v>
      </c>
    </row>
    <row r="40" spans="1:2" x14ac:dyDescent="0.25">
      <c r="A40" t="s">
        <v>604</v>
      </c>
      <c r="B40" t="s">
        <v>711</v>
      </c>
    </row>
    <row r="41" spans="1:2" x14ac:dyDescent="0.25">
      <c r="A41" t="s">
        <v>199</v>
      </c>
      <c r="B41" t="s">
        <v>711</v>
      </c>
    </row>
    <row r="42" spans="1:2" x14ac:dyDescent="0.25">
      <c r="A42" t="s">
        <v>208</v>
      </c>
      <c r="B42" t="s">
        <v>707</v>
      </c>
    </row>
    <row r="43" spans="1:2" x14ac:dyDescent="0.25">
      <c r="A43" t="s">
        <v>182</v>
      </c>
      <c r="B43" t="s">
        <v>703</v>
      </c>
    </row>
    <row r="44" spans="1:2" x14ac:dyDescent="0.25">
      <c r="A44" t="s">
        <v>228</v>
      </c>
      <c r="B44" t="s">
        <v>711</v>
      </c>
    </row>
    <row r="45" spans="1:2" x14ac:dyDescent="0.25">
      <c r="A45" t="s">
        <v>251</v>
      </c>
      <c r="B45" t="s">
        <v>715</v>
      </c>
    </row>
    <row r="46" spans="1:2" x14ac:dyDescent="0.25">
      <c r="A46" t="s">
        <v>259</v>
      </c>
      <c r="B46" t="s">
        <v>714</v>
      </c>
    </row>
    <row r="47" spans="1:2" x14ac:dyDescent="0.25">
      <c r="A47" t="s">
        <v>269</v>
      </c>
      <c r="B47" t="s">
        <v>706</v>
      </c>
    </row>
    <row r="48" spans="1:2" x14ac:dyDescent="0.25">
      <c r="A48" t="s">
        <v>280</v>
      </c>
      <c r="B48" t="s">
        <v>702</v>
      </c>
    </row>
    <row r="49" spans="1:2" x14ac:dyDescent="0.25">
      <c r="A49" t="s">
        <v>288</v>
      </c>
      <c r="B49" t="s">
        <v>702</v>
      </c>
    </row>
    <row r="50" spans="1:2" x14ac:dyDescent="0.25">
      <c r="A50" t="s">
        <v>418</v>
      </c>
      <c r="B50" t="s">
        <v>702</v>
      </c>
    </row>
    <row r="51" spans="1:2" x14ac:dyDescent="0.25">
      <c r="A51" t="s">
        <v>422</v>
      </c>
      <c r="B51" t="s">
        <v>707</v>
      </c>
    </row>
    <row r="52" spans="1:2" x14ac:dyDescent="0.25">
      <c r="A52" t="s">
        <v>423</v>
      </c>
      <c r="B52" t="s">
        <v>711</v>
      </c>
    </row>
    <row r="53" spans="1:2" x14ac:dyDescent="0.25">
      <c r="A53" t="s">
        <v>306</v>
      </c>
      <c r="B53" t="s">
        <v>715</v>
      </c>
    </row>
    <row r="54" spans="1:2" x14ac:dyDescent="0.25">
      <c r="A54" t="s">
        <v>316</v>
      </c>
      <c r="B54" t="s">
        <v>706</v>
      </c>
    </row>
    <row r="55" spans="1:2" x14ac:dyDescent="0.25">
      <c r="A55" t="s">
        <v>327</v>
      </c>
      <c r="B55" t="s">
        <v>708</v>
      </c>
    </row>
    <row r="56" spans="1:2" x14ac:dyDescent="0.25">
      <c r="A56" t="s">
        <v>334</v>
      </c>
      <c r="B56" t="s">
        <v>704</v>
      </c>
    </row>
    <row r="57" spans="1:2" x14ac:dyDescent="0.25">
      <c r="A57" t="s">
        <v>717</v>
      </c>
      <c r="B57" t="s">
        <v>705</v>
      </c>
    </row>
    <row r="58" spans="1:2" x14ac:dyDescent="0.25">
      <c r="A58" t="s">
        <v>368</v>
      </c>
      <c r="B58" t="s">
        <v>705</v>
      </c>
    </row>
    <row r="59" spans="1:2" x14ac:dyDescent="0.25">
      <c r="A59" t="s">
        <v>489</v>
      </c>
      <c r="B59" t="s">
        <v>705</v>
      </c>
    </row>
    <row r="60" spans="1:2" x14ac:dyDescent="0.25">
      <c r="A60" t="s">
        <v>354</v>
      </c>
      <c r="B60" t="s">
        <v>702</v>
      </c>
    </row>
    <row r="61" spans="1:2" x14ac:dyDescent="0.25">
      <c r="A61" t="s">
        <v>360</v>
      </c>
      <c r="B61" t="s">
        <v>702</v>
      </c>
    </row>
    <row r="62" spans="1:2" x14ac:dyDescent="0.25">
      <c r="A62" t="s">
        <v>365</v>
      </c>
      <c r="B62" t="s">
        <v>705</v>
      </c>
    </row>
    <row r="63" spans="1:2" x14ac:dyDescent="0.25">
      <c r="A63" t="s">
        <v>374</v>
      </c>
      <c r="B63" t="s">
        <v>714</v>
      </c>
    </row>
    <row r="64" spans="1:2" x14ac:dyDescent="0.25">
      <c r="A64" t="s">
        <v>507</v>
      </c>
      <c r="B64" t="s">
        <v>718</v>
      </c>
    </row>
    <row r="65" spans="1:2" x14ac:dyDescent="0.25">
      <c r="A65" t="s">
        <v>509</v>
      </c>
      <c r="B65" t="s">
        <v>718</v>
      </c>
    </row>
    <row r="66" spans="1:2" x14ac:dyDescent="0.25">
      <c r="A66" t="s">
        <v>719</v>
      </c>
      <c r="B66" t="s">
        <v>720</v>
      </c>
    </row>
    <row r="67" spans="1:2" x14ac:dyDescent="0.25">
      <c r="A67" t="s">
        <v>721</v>
      </c>
      <c r="B67" t="s">
        <v>720</v>
      </c>
    </row>
    <row r="68" spans="1:2" x14ac:dyDescent="0.25">
      <c r="A68" t="s">
        <v>722</v>
      </c>
      <c r="B68" t="s">
        <v>707</v>
      </c>
    </row>
    <row r="69" spans="1:2" x14ac:dyDescent="0.25">
      <c r="A69" t="s">
        <v>722</v>
      </c>
      <c r="B69" t="s">
        <v>707</v>
      </c>
    </row>
    <row r="70" spans="1:2" x14ac:dyDescent="0.25">
      <c r="A70" t="s">
        <v>723</v>
      </c>
      <c r="B70" t="s">
        <v>708</v>
      </c>
    </row>
    <row r="71" spans="1:2" x14ac:dyDescent="0.25">
      <c r="A71" t="s">
        <v>724</v>
      </c>
      <c r="B71" t="s">
        <v>720</v>
      </c>
    </row>
    <row r="72" spans="1:2" x14ac:dyDescent="0.25">
      <c r="A72" t="s">
        <v>725</v>
      </c>
      <c r="B72" t="s">
        <v>720</v>
      </c>
    </row>
    <row r="73" spans="1:2" x14ac:dyDescent="0.25">
      <c r="A73" t="s">
        <v>726</v>
      </c>
      <c r="B73" t="s">
        <v>720</v>
      </c>
    </row>
    <row r="74" spans="1:2" x14ac:dyDescent="0.25">
      <c r="A74" t="s">
        <v>722</v>
      </c>
      <c r="B74" t="s">
        <v>707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58"/>
  <sheetViews>
    <sheetView workbookViewId="0">
      <selection activeCell="C27" sqref="C27"/>
    </sheetView>
  </sheetViews>
  <sheetFormatPr defaultColWidth="8.6328125" defaultRowHeight="12.5" x14ac:dyDescent="0.25"/>
  <cols>
    <col min="1" max="1" width="10" style="1" customWidth="1"/>
    <col min="2" max="2" width="24" style="1" customWidth="1"/>
    <col min="3" max="3" width="14" style="1" customWidth="1"/>
    <col min="4" max="4" width="8" style="1" customWidth="1"/>
    <col min="5" max="5" width="34" style="1" customWidth="1"/>
    <col min="6" max="6" width="28" style="1" customWidth="1"/>
    <col min="7" max="7" width="14" style="1" customWidth="1"/>
    <col min="8" max="8" width="12" style="1" customWidth="1"/>
    <col min="9" max="9" width="8" style="1" customWidth="1"/>
    <col min="10" max="10" width="24" style="1" customWidth="1"/>
    <col min="11" max="11" width="18" style="1" customWidth="1"/>
    <col min="12" max="12" width="24" style="1" customWidth="1"/>
    <col min="13" max="14" width="14" style="1" customWidth="1"/>
    <col min="15" max="16" width="16" style="1" customWidth="1"/>
    <col min="17" max="17" width="18" style="1" customWidth="1"/>
    <col min="18" max="18" width="34" style="1" customWidth="1"/>
  </cols>
  <sheetData>
    <row r="1" spans="1:18" ht="27.75" customHeight="1" x14ac:dyDescent="0.25">
      <c r="A1" s="16" t="s">
        <v>401</v>
      </c>
      <c r="B1" s="16" t="s">
        <v>402</v>
      </c>
      <c r="C1" s="16" t="s">
        <v>1</v>
      </c>
      <c r="D1" s="16" t="s">
        <v>2</v>
      </c>
      <c r="E1" s="16" t="s">
        <v>403</v>
      </c>
      <c r="F1" s="16" t="s">
        <v>5</v>
      </c>
      <c r="G1" s="16" t="s">
        <v>404</v>
      </c>
      <c r="H1" s="16" t="s">
        <v>405</v>
      </c>
      <c r="I1" s="16" t="s">
        <v>406</v>
      </c>
      <c r="J1" s="16" t="s">
        <v>407</v>
      </c>
      <c r="K1" s="16" t="s">
        <v>9</v>
      </c>
      <c r="L1" s="16" t="s">
        <v>408</v>
      </c>
      <c r="M1" s="16" t="s">
        <v>409</v>
      </c>
      <c r="N1" s="16" t="s">
        <v>410</v>
      </c>
      <c r="O1" s="16" t="s">
        <v>411</v>
      </c>
      <c r="P1" s="16" t="s">
        <v>412</v>
      </c>
      <c r="Q1" s="16" t="s">
        <v>413</v>
      </c>
      <c r="R1" s="16" t="s">
        <v>414</v>
      </c>
    </row>
    <row r="2" spans="1:18" ht="15" customHeight="1" x14ac:dyDescent="0.35">
      <c r="A2" s="1">
        <v>34</v>
      </c>
      <c r="B2" s="1" t="s">
        <v>415</v>
      </c>
      <c r="C2" s="1" t="s">
        <v>293</v>
      </c>
      <c r="D2" s="1">
        <v>2025</v>
      </c>
      <c r="E2" s="1" t="s">
        <v>416</v>
      </c>
      <c r="F2" s="1" t="s">
        <v>417</v>
      </c>
      <c r="G2" s="1" t="s">
        <v>418</v>
      </c>
      <c r="H2" s="1" t="b">
        <f>TRUE()</f>
        <v>1</v>
      </c>
      <c r="I2" s="17">
        <v>0</v>
      </c>
      <c r="J2" s="1" t="s">
        <v>419</v>
      </c>
      <c r="K2" s="1" t="s">
        <v>299</v>
      </c>
      <c r="L2" s="1" t="s">
        <v>29</v>
      </c>
      <c r="M2" s="18">
        <v>0.56000000000000005</v>
      </c>
      <c r="N2" s="18">
        <v>0.56000000000000005</v>
      </c>
      <c r="O2" s="18">
        <v>1</v>
      </c>
      <c r="P2" s="19">
        <v>100</v>
      </c>
      <c r="Q2" s="1" t="s">
        <v>420</v>
      </c>
      <c r="R2" s="1" t="s">
        <v>421</v>
      </c>
    </row>
    <row r="3" spans="1:18" ht="15" customHeight="1" x14ac:dyDescent="0.35">
      <c r="A3" s="1">
        <v>34</v>
      </c>
      <c r="B3" s="1" t="s">
        <v>415</v>
      </c>
      <c r="C3" s="1" t="s">
        <v>293</v>
      </c>
      <c r="D3" s="1">
        <v>2025</v>
      </c>
      <c r="E3" s="1" t="s">
        <v>416</v>
      </c>
      <c r="F3" s="1" t="s">
        <v>417</v>
      </c>
      <c r="G3" s="1" t="s">
        <v>418</v>
      </c>
      <c r="H3" s="1" t="b">
        <f>TRUE()</f>
        <v>1</v>
      </c>
      <c r="I3" s="17">
        <v>12</v>
      </c>
      <c r="J3" s="1" t="s">
        <v>419</v>
      </c>
      <c r="K3" s="1" t="s">
        <v>299</v>
      </c>
      <c r="L3" s="1" t="s">
        <v>29</v>
      </c>
      <c r="M3" s="18">
        <v>0.43</v>
      </c>
      <c r="N3" s="18">
        <v>0.17</v>
      </c>
      <c r="O3" s="18">
        <v>0.4</v>
      </c>
      <c r="P3" s="19">
        <v>40</v>
      </c>
      <c r="Q3" s="1" t="s">
        <v>420</v>
      </c>
      <c r="R3" s="1" t="s">
        <v>421</v>
      </c>
    </row>
    <row r="4" spans="1:18" ht="15" customHeight="1" x14ac:dyDescent="0.35">
      <c r="A4" s="1">
        <v>34</v>
      </c>
      <c r="B4" s="1" t="s">
        <v>415</v>
      </c>
      <c r="C4" s="1" t="s">
        <v>293</v>
      </c>
      <c r="D4" s="1">
        <v>2025</v>
      </c>
      <c r="E4" s="1" t="s">
        <v>416</v>
      </c>
      <c r="F4" s="1" t="s">
        <v>417</v>
      </c>
      <c r="G4" s="1" t="s">
        <v>418</v>
      </c>
      <c r="H4" s="1" t="b">
        <f>TRUE()</f>
        <v>1</v>
      </c>
      <c r="I4" s="17">
        <v>24</v>
      </c>
      <c r="J4" s="1" t="s">
        <v>419</v>
      </c>
      <c r="K4" s="1" t="s">
        <v>299</v>
      </c>
      <c r="L4" s="1" t="s">
        <v>29</v>
      </c>
      <c r="M4" s="18">
        <v>0.22</v>
      </c>
      <c r="N4" s="18">
        <v>0.02</v>
      </c>
      <c r="O4" s="18">
        <v>0.09</v>
      </c>
      <c r="P4" s="19">
        <v>9</v>
      </c>
      <c r="Q4" s="1" t="s">
        <v>420</v>
      </c>
      <c r="R4" s="1" t="s">
        <v>421</v>
      </c>
    </row>
    <row r="5" spans="1:18" ht="15" customHeight="1" x14ac:dyDescent="0.35">
      <c r="A5" s="1">
        <v>34</v>
      </c>
      <c r="B5" s="1" t="s">
        <v>415</v>
      </c>
      <c r="C5" s="1" t="s">
        <v>293</v>
      </c>
      <c r="D5" s="1">
        <v>2025</v>
      </c>
      <c r="E5" s="1" t="s">
        <v>416</v>
      </c>
      <c r="F5" s="1" t="s">
        <v>417</v>
      </c>
      <c r="G5" s="1" t="s">
        <v>418</v>
      </c>
      <c r="H5" s="1" t="b">
        <f>TRUE()</f>
        <v>1</v>
      </c>
      <c r="I5" s="17">
        <v>48</v>
      </c>
      <c r="J5" s="1" t="s">
        <v>419</v>
      </c>
      <c r="K5" s="1" t="s">
        <v>299</v>
      </c>
      <c r="L5" s="1" t="s">
        <v>29</v>
      </c>
      <c r="M5" s="18">
        <v>0.41</v>
      </c>
      <c r="N5" s="18">
        <v>0.12</v>
      </c>
      <c r="O5" s="18">
        <v>0.28999999999999998</v>
      </c>
      <c r="P5" s="19">
        <v>29</v>
      </c>
      <c r="Q5" s="1" t="s">
        <v>420</v>
      </c>
      <c r="R5" s="1" t="s">
        <v>421</v>
      </c>
    </row>
    <row r="6" spans="1:18" ht="15" customHeight="1" x14ac:dyDescent="0.35">
      <c r="A6" s="1">
        <v>34</v>
      </c>
      <c r="B6" s="1" t="s">
        <v>415</v>
      </c>
      <c r="C6" s="1" t="s">
        <v>293</v>
      </c>
      <c r="D6" s="1">
        <v>2025</v>
      </c>
      <c r="E6" s="1" t="s">
        <v>416</v>
      </c>
      <c r="F6" s="1" t="s">
        <v>417</v>
      </c>
      <c r="G6" s="1" t="s">
        <v>418</v>
      </c>
      <c r="H6" s="1" t="b">
        <f>TRUE()</f>
        <v>1</v>
      </c>
      <c r="I6" s="17">
        <v>72</v>
      </c>
      <c r="J6" s="1" t="s">
        <v>419</v>
      </c>
      <c r="K6" s="1" t="s">
        <v>299</v>
      </c>
      <c r="L6" s="1" t="s">
        <v>29</v>
      </c>
      <c r="M6" s="18">
        <v>0.3</v>
      </c>
      <c r="N6" s="18">
        <v>0.17</v>
      </c>
      <c r="O6" s="18">
        <v>0.56999999999999995</v>
      </c>
      <c r="P6" s="19">
        <v>57</v>
      </c>
      <c r="Q6" s="1" t="s">
        <v>420</v>
      </c>
      <c r="R6" s="1" t="s">
        <v>421</v>
      </c>
    </row>
    <row r="7" spans="1:18" ht="15" customHeight="1" x14ac:dyDescent="0.35">
      <c r="A7" s="1">
        <v>34</v>
      </c>
      <c r="B7" s="1" t="s">
        <v>415</v>
      </c>
      <c r="C7" s="1" t="s">
        <v>293</v>
      </c>
      <c r="D7" s="1">
        <v>2025</v>
      </c>
      <c r="E7" s="1" t="s">
        <v>416</v>
      </c>
      <c r="F7" s="1" t="s">
        <v>417</v>
      </c>
      <c r="G7" s="1" t="s">
        <v>422</v>
      </c>
      <c r="H7" s="1" t="b">
        <f>TRUE()</f>
        <v>1</v>
      </c>
      <c r="I7" s="17">
        <v>0</v>
      </c>
      <c r="J7" s="1" t="s">
        <v>419</v>
      </c>
      <c r="K7" s="1" t="s">
        <v>299</v>
      </c>
      <c r="L7" s="1" t="s">
        <v>29</v>
      </c>
      <c r="M7" s="18">
        <v>1.3</v>
      </c>
      <c r="N7" s="18">
        <v>1.3</v>
      </c>
      <c r="O7" s="18">
        <v>1</v>
      </c>
      <c r="P7" s="19">
        <v>100</v>
      </c>
      <c r="Q7" s="1" t="s">
        <v>420</v>
      </c>
      <c r="R7" s="1" t="s">
        <v>421</v>
      </c>
    </row>
    <row r="8" spans="1:18" ht="15" customHeight="1" x14ac:dyDescent="0.35">
      <c r="A8" s="1">
        <v>34</v>
      </c>
      <c r="B8" s="1" t="s">
        <v>415</v>
      </c>
      <c r="C8" s="1" t="s">
        <v>293</v>
      </c>
      <c r="D8" s="1">
        <v>2025</v>
      </c>
      <c r="E8" s="1" t="s">
        <v>416</v>
      </c>
      <c r="F8" s="1" t="s">
        <v>417</v>
      </c>
      <c r="G8" s="1" t="s">
        <v>422</v>
      </c>
      <c r="H8" s="1" t="b">
        <f>TRUE()</f>
        <v>1</v>
      </c>
      <c r="I8" s="17">
        <v>12</v>
      </c>
      <c r="J8" s="1" t="s">
        <v>419</v>
      </c>
      <c r="K8" s="1" t="s">
        <v>299</v>
      </c>
      <c r="L8" s="1" t="s">
        <v>29</v>
      </c>
      <c r="M8" s="18">
        <v>3</v>
      </c>
      <c r="N8" s="18">
        <v>5.2</v>
      </c>
      <c r="O8" s="18">
        <v>1.73</v>
      </c>
      <c r="P8" s="19">
        <v>173</v>
      </c>
      <c r="Q8" s="1" t="s">
        <v>420</v>
      </c>
      <c r="R8" s="1" t="s">
        <v>421</v>
      </c>
    </row>
    <row r="9" spans="1:18" ht="15" customHeight="1" x14ac:dyDescent="0.35">
      <c r="A9" s="1">
        <v>34</v>
      </c>
      <c r="B9" s="1" t="s">
        <v>415</v>
      </c>
      <c r="C9" s="1" t="s">
        <v>293</v>
      </c>
      <c r="D9" s="1">
        <v>2025</v>
      </c>
      <c r="E9" s="1" t="s">
        <v>416</v>
      </c>
      <c r="F9" s="1" t="s">
        <v>417</v>
      </c>
      <c r="G9" s="1" t="s">
        <v>422</v>
      </c>
      <c r="H9" s="1" t="b">
        <f>TRUE()</f>
        <v>1</v>
      </c>
      <c r="I9" s="17">
        <v>24</v>
      </c>
      <c r="J9" s="1" t="s">
        <v>419</v>
      </c>
      <c r="K9" s="1" t="s">
        <v>299</v>
      </c>
      <c r="L9" s="1" t="s">
        <v>29</v>
      </c>
      <c r="M9" s="18">
        <v>44</v>
      </c>
      <c r="N9" s="18">
        <v>1.8</v>
      </c>
      <c r="O9" s="18">
        <v>0.04</v>
      </c>
      <c r="P9" s="19">
        <v>4</v>
      </c>
      <c r="Q9" s="1" t="s">
        <v>420</v>
      </c>
      <c r="R9" s="1" t="s">
        <v>421</v>
      </c>
    </row>
    <row r="10" spans="1:18" ht="15" customHeight="1" x14ac:dyDescent="0.35">
      <c r="A10" s="1">
        <v>34</v>
      </c>
      <c r="B10" s="1" t="s">
        <v>415</v>
      </c>
      <c r="C10" s="1" t="s">
        <v>293</v>
      </c>
      <c r="D10" s="1">
        <v>2025</v>
      </c>
      <c r="E10" s="1" t="s">
        <v>416</v>
      </c>
      <c r="F10" s="1" t="s">
        <v>417</v>
      </c>
      <c r="G10" s="1" t="s">
        <v>422</v>
      </c>
      <c r="H10" s="1" t="b">
        <f>TRUE()</f>
        <v>1</v>
      </c>
      <c r="I10" s="17">
        <v>48</v>
      </c>
      <c r="J10" s="1" t="s">
        <v>419</v>
      </c>
      <c r="K10" s="1" t="s">
        <v>299</v>
      </c>
      <c r="L10" s="1" t="s">
        <v>29</v>
      </c>
      <c r="M10" s="18">
        <v>4.8</v>
      </c>
      <c r="N10" s="18">
        <v>6.2</v>
      </c>
      <c r="O10" s="18">
        <v>1.29</v>
      </c>
      <c r="P10" s="19">
        <v>129</v>
      </c>
      <c r="Q10" s="1" t="s">
        <v>420</v>
      </c>
      <c r="R10" s="1" t="s">
        <v>421</v>
      </c>
    </row>
    <row r="11" spans="1:18" ht="15" customHeight="1" x14ac:dyDescent="0.35">
      <c r="A11" s="1">
        <v>34</v>
      </c>
      <c r="B11" s="1" t="s">
        <v>415</v>
      </c>
      <c r="C11" s="1" t="s">
        <v>293</v>
      </c>
      <c r="D11" s="1">
        <v>2025</v>
      </c>
      <c r="E11" s="1" t="s">
        <v>416</v>
      </c>
      <c r="F11" s="1" t="s">
        <v>417</v>
      </c>
      <c r="G11" s="1" t="s">
        <v>422</v>
      </c>
      <c r="H11" s="1" t="b">
        <f>TRUE()</f>
        <v>1</v>
      </c>
      <c r="I11" s="17">
        <v>72</v>
      </c>
      <c r="J11" s="1" t="s">
        <v>419</v>
      </c>
      <c r="K11" s="1" t="s">
        <v>299</v>
      </c>
      <c r="L11" s="1" t="s">
        <v>29</v>
      </c>
      <c r="M11" s="18">
        <v>39</v>
      </c>
      <c r="N11" s="18">
        <v>39</v>
      </c>
      <c r="O11" s="18">
        <v>1</v>
      </c>
      <c r="P11" s="19">
        <v>100</v>
      </c>
      <c r="Q11" s="1" t="s">
        <v>420</v>
      </c>
      <c r="R11" s="1" t="s">
        <v>421</v>
      </c>
    </row>
    <row r="12" spans="1:18" ht="15" customHeight="1" x14ac:dyDescent="0.35">
      <c r="A12" s="1">
        <v>34</v>
      </c>
      <c r="B12" s="1" t="s">
        <v>415</v>
      </c>
      <c r="C12" s="1" t="s">
        <v>293</v>
      </c>
      <c r="D12" s="1">
        <v>2025</v>
      </c>
      <c r="E12" s="1" t="s">
        <v>416</v>
      </c>
      <c r="F12" s="1" t="s">
        <v>417</v>
      </c>
      <c r="G12" s="1" t="s">
        <v>423</v>
      </c>
      <c r="H12" s="1" t="b">
        <f>TRUE()</f>
        <v>1</v>
      </c>
      <c r="I12" s="17">
        <v>0</v>
      </c>
      <c r="J12" s="1" t="s">
        <v>419</v>
      </c>
      <c r="K12" s="1" t="s">
        <v>299</v>
      </c>
      <c r="L12" s="1" t="s">
        <v>29</v>
      </c>
      <c r="M12" s="18">
        <v>1.4</v>
      </c>
      <c r="N12" s="18">
        <v>1.4</v>
      </c>
      <c r="O12" s="18">
        <v>1</v>
      </c>
      <c r="P12" s="19">
        <v>100</v>
      </c>
      <c r="Q12" s="1" t="s">
        <v>420</v>
      </c>
      <c r="R12" s="1" t="s">
        <v>421</v>
      </c>
    </row>
    <row r="13" spans="1:18" ht="15" customHeight="1" x14ac:dyDescent="0.35">
      <c r="A13" s="1">
        <v>34</v>
      </c>
      <c r="B13" s="1" t="s">
        <v>415</v>
      </c>
      <c r="C13" s="1" t="s">
        <v>293</v>
      </c>
      <c r="D13" s="1">
        <v>2025</v>
      </c>
      <c r="E13" s="1" t="s">
        <v>416</v>
      </c>
      <c r="F13" s="1" t="s">
        <v>417</v>
      </c>
      <c r="G13" s="1" t="s">
        <v>423</v>
      </c>
      <c r="H13" s="1" t="b">
        <f>TRUE()</f>
        <v>1</v>
      </c>
      <c r="I13" s="17">
        <v>12</v>
      </c>
      <c r="J13" s="1" t="s">
        <v>419</v>
      </c>
      <c r="K13" s="1" t="s">
        <v>299</v>
      </c>
      <c r="L13" s="1" t="s">
        <v>29</v>
      </c>
      <c r="M13" s="18">
        <v>1.4</v>
      </c>
      <c r="N13" s="18">
        <v>1.5</v>
      </c>
      <c r="O13" s="18">
        <v>1.07</v>
      </c>
      <c r="P13" s="19">
        <v>107</v>
      </c>
      <c r="Q13" s="1" t="s">
        <v>420</v>
      </c>
      <c r="R13" s="1" t="s">
        <v>421</v>
      </c>
    </row>
    <row r="14" spans="1:18" ht="15" customHeight="1" x14ac:dyDescent="0.35">
      <c r="A14" s="1">
        <v>34</v>
      </c>
      <c r="B14" s="1" t="s">
        <v>415</v>
      </c>
      <c r="C14" s="1" t="s">
        <v>293</v>
      </c>
      <c r="D14" s="1">
        <v>2025</v>
      </c>
      <c r="E14" s="1" t="s">
        <v>416</v>
      </c>
      <c r="F14" s="1" t="s">
        <v>417</v>
      </c>
      <c r="G14" s="1" t="s">
        <v>423</v>
      </c>
      <c r="H14" s="1" t="b">
        <f>TRUE()</f>
        <v>1</v>
      </c>
      <c r="I14" s="17">
        <v>24</v>
      </c>
      <c r="J14" s="1" t="s">
        <v>419</v>
      </c>
      <c r="K14" s="1" t="s">
        <v>299</v>
      </c>
      <c r="L14" s="1" t="s">
        <v>29</v>
      </c>
      <c r="M14" s="18">
        <v>1.3</v>
      </c>
      <c r="N14" s="18">
        <v>0.45</v>
      </c>
      <c r="O14" s="18">
        <v>0.35</v>
      </c>
      <c r="P14" s="19">
        <v>35</v>
      </c>
      <c r="Q14" s="1" t="s">
        <v>420</v>
      </c>
      <c r="R14" s="1" t="s">
        <v>421</v>
      </c>
    </row>
    <row r="15" spans="1:18" ht="15" customHeight="1" x14ac:dyDescent="0.35">
      <c r="A15" s="1">
        <v>34</v>
      </c>
      <c r="B15" s="1" t="s">
        <v>415</v>
      </c>
      <c r="C15" s="1" t="s">
        <v>293</v>
      </c>
      <c r="D15" s="1">
        <v>2025</v>
      </c>
      <c r="E15" s="1" t="s">
        <v>416</v>
      </c>
      <c r="F15" s="1" t="s">
        <v>417</v>
      </c>
      <c r="G15" s="1" t="s">
        <v>423</v>
      </c>
      <c r="H15" s="1" t="b">
        <f>TRUE()</f>
        <v>1</v>
      </c>
      <c r="I15" s="17">
        <v>48</v>
      </c>
      <c r="J15" s="1" t="s">
        <v>419</v>
      </c>
      <c r="K15" s="1" t="s">
        <v>299</v>
      </c>
      <c r="L15" s="1" t="s">
        <v>29</v>
      </c>
      <c r="M15" s="18">
        <v>0.6</v>
      </c>
      <c r="N15" s="18">
        <v>0.38</v>
      </c>
      <c r="O15" s="18">
        <v>0.63</v>
      </c>
      <c r="P15" s="19">
        <v>63</v>
      </c>
      <c r="Q15" s="1" t="s">
        <v>420</v>
      </c>
      <c r="R15" s="1" t="s">
        <v>421</v>
      </c>
    </row>
    <row r="16" spans="1:18" ht="15" customHeight="1" x14ac:dyDescent="0.35">
      <c r="A16" s="1">
        <v>34</v>
      </c>
      <c r="B16" s="1" t="s">
        <v>415</v>
      </c>
      <c r="C16" s="1" t="s">
        <v>293</v>
      </c>
      <c r="D16" s="1">
        <v>2025</v>
      </c>
      <c r="E16" s="1" t="s">
        <v>416</v>
      </c>
      <c r="F16" s="1" t="s">
        <v>417</v>
      </c>
      <c r="G16" s="1" t="s">
        <v>423</v>
      </c>
      <c r="H16" s="1" t="b">
        <f>TRUE()</f>
        <v>1</v>
      </c>
      <c r="I16" s="17">
        <v>72</v>
      </c>
      <c r="J16" s="1" t="s">
        <v>419</v>
      </c>
      <c r="K16" s="1" t="s">
        <v>299</v>
      </c>
      <c r="L16" s="1" t="s">
        <v>29</v>
      </c>
      <c r="M16" s="18">
        <v>1.5</v>
      </c>
      <c r="N16" s="18">
        <v>0.25</v>
      </c>
      <c r="O16" s="18">
        <v>0.17</v>
      </c>
      <c r="P16" s="19">
        <v>17</v>
      </c>
      <c r="Q16" s="1" t="s">
        <v>420</v>
      </c>
      <c r="R16" s="1" t="s">
        <v>421</v>
      </c>
    </row>
    <row r="17" spans="1:18" ht="15" customHeight="1" x14ac:dyDescent="0.35">
      <c r="A17" s="1">
        <v>34</v>
      </c>
      <c r="B17" s="1" t="s">
        <v>415</v>
      </c>
      <c r="C17" s="1" t="s">
        <v>293</v>
      </c>
      <c r="D17" s="1">
        <v>2025</v>
      </c>
      <c r="E17" s="1" t="s">
        <v>416</v>
      </c>
      <c r="F17" s="1" t="s">
        <v>417</v>
      </c>
      <c r="G17" s="1" t="s">
        <v>418</v>
      </c>
      <c r="H17" s="1" t="b">
        <f>TRUE()</f>
        <v>1</v>
      </c>
      <c r="I17" s="17">
        <v>0</v>
      </c>
      <c r="J17" s="1" t="s">
        <v>424</v>
      </c>
      <c r="K17" s="1" t="s">
        <v>299</v>
      </c>
      <c r="L17" s="1" t="s">
        <v>425</v>
      </c>
      <c r="M17" s="20">
        <v>210000000</v>
      </c>
      <c r="N17" s="20">
        <v>210000000</v>
      </c>
      <c r="O17" s="18">
        <v>1</v>
      </c>
      <c r="P17" s="19">
        <v>100</v>
      </c>
      <c r="Q17" s="1" t="s">
        <v>426</v>
      </c>
      <c r="R17" s="1" t="s">
        <v>427</v>
      </c>
    </row>
    <row r="18" spans="1:18" ht="15" customHeight="1" x14ac:dyDescent="0.35">
      <c r="A18" s="1">
        <v>34</v>
      </c>
      <c r="B18" s="1" t="s">
        <v>415</v>
      </c>
      <c r="C18" s="1" t="s">
        <v>293</v>
      </c>
      <c r="D18" s="1">
        <v>2025</v>
      </c>
      <c r="E18" s="1" t="s">
        <v>416</v>
      </c>
      <c r="F18" s="1" t="s">
        <v>417</v>
      </c>
      <c r="G18" s="1" t="s">
        <v>418</v>
      </c>
      <c r="H18" s="1" t="b">
        <f>TRUE()</f>
        <v>1</v>
      </c>
      <c r="I18" s="17">
        <v>12</v>
      </c>
      <c r="J18" s="1" t="s">
        <v>424</v>
      </c>
      <c r="K18" s="1" t="s">
        <v>299</v>
      </c>
      <c r="L18" s="1" t="s">
        <v>425</v>
      </c>
      <c r="M18" s="20">
        <v>120000000</v>
      </c>
      <c r="N18" s="20">
        <v>90000000</v>
      </c>
      <c r="O18" s="18">
        <v>0.75</v>
      </c>
      <c r="P18" s="19">
        <v>75</v>
      </c>
      <c r="Q18" s="1" t="s">
        <v>426</v>
      </c>
      <c r="R18" s="1" t="s">
        <v>427</v>
      </c>
    </row>
    <row r="19" spans="1:18" ht="15" customHeight="1" x14ac:dyDescent="0.35">
      <c r="A19" s="1">
        <v>34</v>
      </c>
      <c r="B19" s="1" t="s">
        <v>415</v>
      </c>
      <c r="C19" s="1" t="s">
        <v>293</v>
      </c>
      <c r="D19" s="1">
        <v>2025</v>
      </c>
      <c r="E19" s="1" t="s">
        <v>416</v>
      </c>
      <c r="F19" s="1" t="s">
        <v>417</v>
      </c>
      <c r="G19" s="1" t="s">
        <v>418</v>
      </c>
      <c r="H19" s="1" t="b">
        <f>TRUE()</f>
        <v>1</v>
      </c>
      <c r="I19" s="17">
        <v>24</v>
      </c>
      <c r="J19" s="1" t="s">
        <v>424</v>
      </c>
      <c r="K19" s="1" t="s">
        <v>299</v>
      </c>
      <c r="L19" s="1" t="s">
        <v>425</v>
      </c>
      <c r="M19" s="20">
        <v>80000000</v>
      </c>
      <c r="N19" s="20">
        <v>35000000</v>
      </c>
      <c r="O19" s="18">
        <v>0.44</v>
      </c>
      <c r="P19" s="19">
        <v>44</v>
      </c>
      <c r="Q19" s="1" t="s">
        <v>426</v>
      </c>
      <c r="R19" s="1" t="s">
        <v>427</v>
      </c>
    </row>
    <row r="20" spans="1:18" ht="15" customHeight="1" x14ac:dyDescent="0.35">
      <c r="A20" s="1">
        <v>34</v>
      </c>
      <c r="B20" s="1" t="s">
        <v>415</v>
      </c>
      <c r="C20" s="1" t="s">
        <v>293</v>
      </c>
      <c r="D20" s="1">
        <v>2025</v>
      </c>
      <c r="E20" s="1" t="s">
        <v>416</v>
      </c>
      <c r="F20" s="1" t="s">
        <v>417</v>
      </c>
      <c r="G20" s="1" t="s">
        <v>418</v>
      </c>
      <c r="H20" s="1" t="b">
        <f>TRUE()</f>
        <v>1</v>
      </c>
      <c r="I20" s="17">
        <v>48</v>
      </c>
      <c r="J20" s="1" t="s">
        <v>424</v>
      </c>
      <c r="K20" s="1" t="s">
        <v>299</v>
      </c>
      <c r="L20" s="1" t="s">
        <v>425</v>
      </c>
      <c r="M20" s="20">
        <v>120000000</v>
      </c>
      <c r="N20" s="20">
        <v>50000000</v>
      </c>
      <c r="O20" s="18">
        <v>0.42</v>
      </c>
      <c r="P20" s="19">
        <v>42</v>
      </c>
      <c r="Q20" s="1" t="s">
        <v>426</v>
      </c>
      <c r="R20" s="1" t="s">
        <v>427</v>
      </c>
    </row>
    <row r="21" spans="1:18" ht="15" customHeight="1" x14ac:dyDescent="0.35">
      <c r="A21" s="1">
        <v>34</v>
      </c>
      <c r="B21" s="1" t="s">
        <v>415</v>
      </c>
      <c r="C21" s="1" t="s">
        <v>293</v>
      </c>
      <c r="D21" s="1">
        <v>2025</v>
      </c>
      <c r="E21" s="1" t="s">
        <v>416</v>
      </c>
      <c r="F21" s="1" t="s">
        <v>417</v>
      </c>
      <c r="G21" s="1" t="s">
        <v>418</v>
      </c>
      <c r="H21" s="1" t="b">
        <f>TRUE()</f>
        <v>1</v>
      </c>
      <c r="I21" s="17">
        <v>72</v>
      </c>
      <c r="J21" s="1" t="s">
        <v>424</v>
      </c>
      <c r="K21" s="1" t="s">
        <v>299</v>
      </c>
      <c r="L21" s="1" t="s">
        <v>425</v>
      </c>
      <c r="M21" s="20">
        <v>220000000</v>
      </c>
      <c r="N21" s="20">
        <v>60000000</v>
      </c>
      <c r="O21" s="18">
        <v>0.27</v>
      </c>
      <c r="P21" s="19">
        <v>27</v>
      </c>
      <c r="Q21" s="1" t="s">
        <v>426</v>
      </c>
      <c r="R21" s="1" t="s">
        <v>427</v>
      </c>
    </row>
    <row r="22" spans="1:18" ht="15" customHeight="1" x14ac:dyDescent="0.35">
      <c r="A22" s="1">
        <v>34</v>
      </c>
      <c r="B22" s="1" t="s">
        <v>415</v>
      </c>
      <c r="C22" s="1" t="s">
        <v>293</v>
      </c>
      <c r="D22" s="1">
        <v>2025</v>
      </c>
      <c r="E22" s="1" t="s">
        <v>416</v>
      </c>
      <c r="F22" s="1" t="s">
        <v>417</v>
      </c>
      <c r="G22" s="1" t="s">
        <v>422</v>
      </c>
      <c r="H22" s="1" t="b">
        <f>TRUE()</f>
        <v>1</v>
      </c>
      <c r="I22" s="17">
        <v>0</v>
      </c>
      <c r="J22" s="1" t="s">
        <v>424</v>
      </c>
      <c r="K22" s="1" t="s">
        <v>299</v>
      </c>
      <c r="L22" s="1" t="s">
        <v>425</v>
      </c>
      <c r="M22" s="20">
        <v>210000000</v>
      </c>
      <c r="N22" s="20">
        <v>210000000</v>
      </c>
      <c r="O22" s="18">
        <v>1</v>
      </c>
      <c r="P22" s="19">
        <v>100</v>
      </c>
      <c r="Q22" s="1" t="s">
        <v>426</v>
      </c>
      <c r="R22" s="1" t="s">
        <v>427</v>
      </c>
    </row>
    <row r="23" spans="1:18" ht="15" customHeight="1" x14ac:dyDescent="0.35">
      <c r="A23" s="1">
        <v>34</v>
      </c>
      <c r="B23" s="1" t="s">
        <v>415</v>
      </c>
      <c r="C23" s="1" t="s">
        <v>293</v>
      </c>
      <c r="D23" s="1">
        <v>2025</v>
      </c>
      <c r="E23" s="1" t="s">
        <v>416</v>
      </c>
      <c r="F23" s="1" t="s">
        <v>417</v>
      </c>
      <c r="G23" s="1" t="s">
        <v>422</v>
      </c>
      <c r="H23" s="1" t="b">
        <f>TRUE()</f>
        <v>1</v>
      </c>
      <c r="I23" s="17">
        <v>12</v>
      </c>
      <c r="J23" s="1" t="s">
        <v>424</v>
      </c>
      <c r="K23" s="1" t="s">
        <v>299</v>
      </c>
      <c r="L23" s="1" t="s">
        <v>425</v>
      </c>
      <c r="M23" s="20">
        <v>390000000</v>
      </c>
      <c r="N23" s="20">
        <v>240000000</v>
      </c>
      <c r="O23" s="18">
        <v>0.62</v>
      </c>
      <c r="P23" s="19">
        <v>62</v>
      </c>
      <c r="Q23" s="1" t="s">
        <v>426</v>
      </c>
      <c r="R23" s="1" t="s">
        <v>427</v>
      </c>
    </row>
    <row r="24" spans="1:18" ht="15" customHeight="1" x14ac:dyDescent="0.35">
      <c r="A24" s="1">
        <v>34</v>
      </c>
      <c r="B24" s="1" t="s">
        <v>415</v>
      </c>
      <c r="C24" s="1" t="s">
        <v>293</v>
      </c>
      <c r="D24" s="1">
        <v>2025</v>
      </c>
      <c r="E24" s="1" t="s">
        <v>416</v>
      </c>
      <c r="F24" s="1" t="s">
        <v>417</v>
      </c>
      <c r="G24" s="1" t="s">
        <v>422</v>
      </c>
      <c r="H24" s="1" t="b">
        <f>TRUE()</f>
        <v>1</v>
      </c>
      <c r="I24" s="17">
        <v>24</v>
      </c>
      <c r="J24" s="1" t="s">
        <v>424</v>
      </c>
      <c r="K24" s="1" t="s">
        <v>299</v>
      </c>
      <c r="L24" s="1" t="s">
        <v>425</v>
      </c>
      <c r="M24" s="20">
        <v>210000000</v>
      </c>
      <c r="N24" s="20">
        <v>200000000</v>
      </c>
      <c r="O24" s="18">
        <v>0.95</v>
      </c>
      <c r="P24" s="19">
        <v>95</v>
      </c>
      <c r="Q24" s="1" t="s">
        <v>426</v>
      </c>
      <c r="R24" s="1" t="s">
        <v>427</v>
      </c>
    </row>
    <row r="25" spans="1:18" ht="15" customHeight="1" x14ac:dyDescent="0.35">
      <c r="A25" s="1">
        <v>34</v>
      </c>
      <c r="B25" s="1" t="s">
        <v>415</v>
      </c>
      <c r="C25" s="1" t="s">
        <v>293</v>
      </c>
      <c r="D25" s="1">
        <v>2025</v>
      </c>
      <c r="E25" s="1" t="s">
        <v>416</v>
      </c>
      <c r="F25" s="1" t="s">
        <v>417</v>
      </c>
      <c r="G25" s="1" t="s">
        <v>422</v>
      </c>
      <c r="H25" s="1" t="b">
        <f>TRUE()</f>
        <v>1</v>
      </c>
      <c r="I25" s="17">
        <v>48</v>
      </c>
      <c r="J25" s="1" t="s">
        <v>424</v>
      </c>
      <c r="K25" s="1" t="s">
        <v>299</v>
      </c>
      <c r="L25" s="1" t="s">
        <v>425</v>
      </c>
      <c r="M25" s="20">
        <v>190000000</v>
      </c>
      <c r="N25" s="20">
        <v>30000000</v>
      </c>
      <c r="O25" s="18">
        <v>0.16</v>
      </c>
      <c r="P25" s="19">
        <v>16</v>
      </c>
      <c r="Q25" s="1" t="s">
        <v>426</v>
      </c>
      <c r="R25" s="1" t="s">
        <v>427</v>
      </c>
    </row>
    <row r="26" spans="1:18" ht="15" customHeight="1" x14ac:dyDescent="0.35">
      <c r="A26" s="1">
        <v>34</v>
      </c>
      <c r="B26" s="1" t="s">
        <v>415</v>
      </c>
      <c r="C26" s="1" t="s">
        <v>293</v>
      </c>
      <c r="D26" s="1">
        <v>2025</v>
      </c>
      <c r="E26" s="1" t="s">
        <v>416</v>
      </c>
      <c r="F26" s="1" t="s">
        <v>417</v>
      </c>
      <c r="G26" s="1" t="s">
        <v>422</v>
      </c>
      <c r="H26" s="1" t="b">
        <f>TRUE()</f>
        <v>1</v>
      </c>
      <c r="I26" s="17">
        <v>72</v>
      </c>
      <c r="J26" s="1" t="s">
        <v>424</v>
      </c>
      <c r="K26" s="1" t="s">
        <v>299</v>
      </c>
      <c r="L26" s="1" t="s">
        <v>425</v>
      </c>
      <c r="M26" s="20">
        <v>270000000</v>
      </c>
      <c r="N26" s="20">
        <v>360000000</v>
      </c>
      <c r="O26" s="18">
        <v>1.33</v>
      </c>
      <c r="P26" s="19">
        <v>133</v>
      </c>
      <c r="Q26" s="1" t="s">
        <v>426</v>
      </c>
      <c r="R26" s="1" t="s">
        <v>427</v>
      </c>
    </row>
    <row r="27" spans="1:18" ht="15" customHeight="1" x14ac:dyDescent="0.35">
      <c r="A27" s="1">
        <v>34</v>
      </c>
      <c r="B27" s="1" t="s">
        <v>415</v>
      </c>
      <c r="C27" s="1" t="s">
        <v>293</v>
      </c>
      <c r="D27" s="1">
        <v>2025</v>
      </c>
      <c r="E27" s="1" t="s">
        <v>416</v>
      </c>
      <c r="F27" s="1" t="s">
        <v>417</v>
      </c>
      <c r="G27" s="1" t="s">
        <v>423</v>
      </c>
      <c r="H27" s="1" t="b">
        <f>TRUE()</f>
        <v>1</v>
      </c>
      <c r="I27" s="17">
        <v>0</v>
      </c>
      <c r="J27" s="1" t="s">
        <v>424</v>
      </c>
      <c r="K27" s="1" t="s">
        <v>299</v>
      </c>
      <c r="L27" s="1" t="s">
        <v>425</v>
      </c>
      <c r="M27" s="20">
        <v>210000000</v>
      </c>
      <c r="N27" s="20">
        <v>210000000</v>
      </c>
      <c r="O27" s="18">
        <v>1</v>
      </c>
      <c r="P27" s="19">
        <v>100</v>
      </c>
      <c r="Q27" s="1" t="s">
        <v>426</v>
      </c>
      <c r="R27" s="1" t="s">
        <v>427</v>
      </c>
    </row>
    <row r="28" spans="1:18" ht="15" customHeight="1" x14ac:dyDescent="0.35">
      <c r="A28" s="1">
        <v>34</v>
      </c>
      <c r="B28" s="1" t="s">
        <v>415</v>
      </c>
      <c r="C28" s="1" t="s">
        <v>293</v>
      </c>
      <c r="D28" s="1">
        <v>2025</v>
      </c>
      <c r="E28" s="1" t="s">
        <v>416</v>
      </c>
      <c r="F28" s="1" t="s">
        <v>417</v>
      </c>
      <c r="G28" s="1" t="s">
        <v>423</v>
      </c>
      <c r="H28" s="1" t="b">
        <f>TRUE()</f>
        <v>1</v>
      </c>
      <c r="I28" s="17">
        <v>12</v>
      </c>
      <c r="J28" s="1" t="s">
        <v>424</v>
      </c>
      <c r="K28" s="1" t="s">
        <v>299</v>
      </c>
      <c r="L28" s="1" t="s">
        <v>425</v>
      </c>
      <c r="M28" s="20">
        <v>160000000</v>
      </c>
      <c r="N28" s="20">
        <v>300000000</v>
      </c>
      <c r="O28" s="18">
        <v>1.88</v>
      </c>
      <c r="P28" s="19">
        <v>188</v>
      </c>
      <c r="Q28" s="1" t="s">
        <v>426</v>
      </c>
      <c r="R28" s="1" t="s">
        <v>427</v>
      </c>
    </row>
    <row r="29" spans="1:18" ht="15" customHeight="1" x14ac:dyDescent="0.35">
      <c r="A29" s="1">
        <v>34</v>
      </c>
      <c r="B29" s="1" t="s">
        <v>415</v>
      </c>
      <c r="C29" s="1" t="s">
        <v>293</v>
      </c>
      <c r="D29" s="1">
        <v>2025</v>
      </c>
      <c r="E29" s="1" t="s">
        <v>416</v>
      </c>
      <c r="F29" s="1" t="s">
        <v>417</v>
      </c>
      <c r="G29" s="1" t="s">
        <v>423</v>
      </c>
      <c r="H29" s="1" t="b">
        <f>TRUE()</f>
        <v>1</v>
      </c>
      <c r="I29" s="17">
        <v>24</v>
      </c>
      <c r="J29" s="1" t="s">
        <v>424</v>
      </c>
      <c r="K29" s="1" t="s">
        <v>299</v>
      </c>
      <c r="L29" s="1" t="s">
        <v>425</v>
      </c>
      <c r="M29" s="20">
        <v>80000000</v>
      </c>
      <c r="N29" s="20">
        <v>80000000</v>
      </c>
      <c r="O29" s="18">
        <v>1</v>
      </c>
      <c r="P29" s="19">
        <v>100</v>
      </c>
      <c r="Q29" s="1" t="s">
        <v>426</v>
      </c>
      <c r="R29" s="1" t="s">
        <v>427</v>
      </c>
    </row>
    <row r="30" spans="1:18" ht="15" customHeight="1" x14ac:dyDescent="0.35">
      <c r="A30" s="1">
        <v>34</v>
      </c>
      <c r="B30" s="1" t="s">
        <v>415</v>
      </c>
      <c r="C30" s="1" t="s">
        <v>293</v>
      </c>
      <c r="D30" s="1">
        <v>2025</v>
      </c>
      <c r="E30" s="1" t="s">
        <v>416</v>
      </c>
      <c r="F30" s="1" t="s">
        <v>417</v>
      </c>
      <c r="G30" s="1" t="s">
        <v>423</v>
      </c>
      <c r="H30" s="1" t="b">
        <f>TRUE()</f>
        <v>1</v>
      </c>
      <c r="I30" s="17">
        <v>48</v>
      </c>
      <c r="J30" s="1" t="s">
        <v>424</v>
      </c>
      <c r="K30" s="1" t="s">
        <v>299</v>
      </c>
      <c r="L30" s="1" t="s">
        <v>425</v>
      </c>
      <c r="M30" s="20">
        <v>210000000</v>
      </c>
      <c r="N30" s="20">
        <v>35000000</v>
      </c>
      <c r="O30" s="18">
        <v>0.17</v>
      </c>
      <c r="P30" s="19">
        <v>17</v>
      </c>
      <c r="Q30" s="1" t="s">
        <v>426</v>
      </c>
      <c r="R30" s="1" t="s">
        <v>427</v>
      </c>
    </row>
    <row r="31" spans="1:18" ht="15" customHeight="1" x14ac:dyDescent="0.35">
      <c r="A31" s="1">
        <v>34</v>
      </c>
      <c r="B31" s="1" t="s">
        <v>415</v>
      </c>
      <c r="C31" s="1" t="s">
        <v>293</v>
      </c>
      <c r="D31" s="1">
        <v>2025</v>
      </c>
      <c r="E31" s="1" t="s">
        <v>416</v>
      </c>
      <c r="F31" s="1" t="s">
        <v>417</v>
      </c>
      <c r="G31" s="1" t="s">
        <v>423</v>
      </c>
      <c r="H31" s="1" t="b">
        <f>TRUE()</f>
        <v>1</v>
      </c>
      <c r="I31" s="17">
        <v>72</v>
      </c>
      <c r="J31" s="1" t="s">
        <v>424</v>
      </c>
      <c r="K31" s="1" t="s">
        <v>299</v>
      </c>
      <c r="L31" s="1" t="s">
        <v>425</v>
      </c>
      <c r="M31" s="20">
        <v>60000000</v>
      </c>
      <c r="N31" s="20">
        <v>40000000</v>
      </c>
      <c r="O31" s="18">
        <v>0.67</v>
      </c>
      <c r="P31" s="19">
        <v>67</v>
      </c>
      <c r="Q31" s="1" t="s">
        <v>426</v>
      </c>
      <c r="R31" s="1" t="s">
        <v>427</v>
      </c>
    </row>
    <row r="32" spans="1:18" ht="15" customHeight="1" x14ac:dyDescent="0.35">
      <c r="A32" s="1">
        <v>34</v>
      </c>
      <c r="B32" s="1" t="s">
        <v>415</v>
      </c>
      <c r="C32" s="1" t="s">
        <v>293</v>
      </c>
      <c r="D32" s="1">
        <v>2025</v>
      </c>
      <c r="E32" s="1" t="s">
        <v>416</v>
      </c>
      <c r="F32" s="1" t="s">
        <v>417</v>
      </c>
      <c r="G32" s="1" t="s">
        <v>418</v>
      </c>
      <c r="H32" s="1" t="b">
        <f>TRUE()</f>
        <v>1</v>
      </c>
      <c r="I32" s="17">
        <v>0</v>
      </c>
      <c r="J32" s="1" t="s">
        <v>428</v>
      </c>
      <c r="K32" s="1" t="s">
        <v>299</v>
      </c>
      <c r="L32" s="1" t="s">
        <v>429</v>
      </c>
      <c r="M32" s="17">
        <v>3800</v>
      </c>
      <c r="N32" s="17">
        <v>3800</v>
      </c>
      <c r="O32" s="18">
        <v>1</v>
      </c>
      <c r="P32" s="19">
        <v>100</v>
      </c>
      <c r="Q32" s="1" t="s">
        <v>430</v>
      </c>
      <c r="R32" s="1" t="s">
        <v>431</v>
      </c>
    </row>
    <row r="33" spans="1:18" ht="15" customHeight="1" x14ac:dyDescent="0.35">
      <c r="A33" s="1">
        <v>34</v>
      </c>
      <c r="B33" s="1" t="s">
        <v>415</v>
      </c>
      <c r="C33" s="1" t="s">
        <v>293</v>
      </c>
      <c r="D33" s="1">
        <v>2025</v>
      </c>
      <c r="E33" s="1" t="s">
        <v>416</v>
      </c>
      <c r="F33" s="1" t="s">
        <v>417</v>
      </c>
      <c r="G33" s="1" t="s">
        <v>418</v>
      </c>
      <c r="H33" s="1" t="b">
        <f>TRUE()</f>
        <v>1</v>
      </c>
      <c r="I33" s="17">
        <v>12</v>
      </c>
      <c r="J33" s="1" t="s">
        <v>428</v>
      </c>
      <c r="K33" s="1" t="s">
        <v>299</v>
      </c>
      <c r="L33" s="1" t="s">
        <v>429</v>
      </c>
      <c r="M33" s="17">
        <v>2200</v>
      </c>
      <c r="N33" s="17">
        <v>700</v>
      </c>
      <c r="O33" s="18">
        <v>0.32</v>
      </c>
      <c r="P33" s="19">
        <v>32</v>
      </c>
      <c r="Q33" s="1" t="s">
        <v>430</v>
      </c>
      <c r="R33" s="1" t="s">
        <v>431</v>
      </c>
    </row>
    <row r="34" spans="1:18" ht="15" customHeight="1" x14ac:dyDescent="0.35">
      <c r="A34" s="1">
        <v>34</v>
      </c>
      <c r="B34" s="1" t="s">
        <v>415</v>
      </c>
      <c r="C34" s="1" t="s">
        <v>293</v>
      </c>
      <c r="D34" s="1">
        <v>2025</v>
      </c>
      <c r="E34" s="1" t="s">
        <v>416</v>
      </c>
      <c r="F34" s="1" t="s">
        <v>417</v>
      </c>
      <c r="G34" s="1" t="s">
        <v>418</v>
      </c>
      <c r="H34" s="1" t="b">
        <f>TRUE()</f>
        <v>1</v>
      </c>
      <c r="I34" s="17">
        <v>24</v>
      </c>
      <c r="J34" s="1" t="s">
        <v>428</v>
      </c>
      <c r="K34" s="1" t="s">
        <v>299</v>
      </c>
      <c r="L34" s="1" t="s">
        <v>429</v>
      </c>
      <c r="M34" s="17">
        <v>1700</v>
      </c>
      <c r="N34" s="17">
        <v>1200</v>
      </c>
      <c r="O34" s="18">
        <v>0.71</v>
      </c>
      <c r="P34" s="19">
        <v>71</v>
      </c>
      <c r="Q34" s="1" t="s">
        <v>430</v>
      </c>
      <c r="R34" s="1" t="s">
        <v>431</v>
      </c>
    </row>
    <row r="35" spans="1:18" ht="15" customHeight="1" x14ac:dyDescent="0.35">
      <c r="A35" s="1">
        <v>34</v>
      </c>
      <c r="B35" s="1" t="s">
        <v>415</v>
      </c>
      <c r="C35" s="1" t="s">
        <v>293</v>
      </c>
      <c r="D35" s="1">
        <v>2025</v>
      </c>
      <c r="E35" s="1" t="s">
        <v>416</v>
      </c>
      <c r="F35" s="1" t="s">
        <v>417</v>
      </c>
      <c r="G35" s="1" t="s">
        <v>418</v>
      </c>
      <c r="H35" s="1" t="b">
        <f>TRUE()</f>
        <v>1</v>
      </c>
      <c r="I35" s="17">
        <v>48</v>
      </c>
      <c r="J35" s="1" t="s">
        <v>428</v>
      </c>
      <c r="K35" s="1" t="s">
        <v>299</v>
      </c>
      <c r="L35" s="1" t="s">
        <v>429</v>
      </c>
      <c r="M35" s="17">
        <v>3600</v>
      </c>
      <c r="N35" s="17">
        <v>900</v>
      </c>
      <c r="O35" s="18">
        <v>0.25</v>
      </c>
      <c r="P35" s="19">
        <v>25</v>
      </c>
      <c r="Q35" s="1" t="s">
        <v>430</v>
      </c>
      <c r="R35" s="1" t="s">
        <v>431</v>
      </c>
    </row>
    <row r="36" spans="1:18" ht="15" customHeight="1" x14ac:dyDescent="0.35">
      <c r="A36" s="1">
        <v>34</v>
      </c>
      <c r="B36" s="1" t="s">
        <v>415</v>
      </c>
      <c r="C36" s="1" t="s">
        <v>293</v>
      </c>
      <c r="D36" s="1">
        <v>2025</v>
      </c>
      <c r="E36" s="1" t="s">
        <v>416</v>
      </c>
      <c r="F36" s="1" t="s">
        <v>417</v>
      </c>
      <c r="G36" s="1" t="s">
        <v>418</v>
      </c>
      <c r="H36" s="1" t="b">
        <f>TRUE()</f>
        <v>1</v>
      </c>
      <c r="I36" s="17">
        <v>72</v>
      </c>
      <c r="J36" s="1" t="s">
        <v>428</v>
      </c>
      <c r="K36" s="1" t="s">
        <v>299</v>
      </c>
      <c r="L36" s="1" t="s">
        <v>429</v>
      </c>
      <c r="M36" s="17">
        <v>5600</v>
      </c>
      <c r="N36" s="17">
        <v>1000</v>
      </c>
      <c r="O36" s="18">
        <v>0.18</v>
      </c>
      <c r="P36" s="19">
        <v>18</v>
      </c>
      <c r="Q36" s="1" t="s">
        <v>430</v>
      </c>
      <c r="R36" s="1" t="s">
        <v>431</v>
      </c>
    </row>
    <row r="37" spans="1:18" ht="15" customHeight="1" x14ac:dyDescent="0.35">
      <c r="A37" s="1">
        <v>34</v>
      </c>
      <c r="B37" s="1" t="s">
        <v>415</v>
      </c>
      <c r="C37" s="1" t="s">
        <v>293</v>
      </c>
      <c r="D37" s="1">
        <v>2025</v>
      </c>
      <c r="E37" s="1" t="s">
        <v>416</v>
      </c>
      <c r="F37" s="1" t="s">
        <v>417</v>
      </c>
      <c r="G37" s="1" t="s">
        <v>422</v>
      </c>
      <c r="H37" s="1" t="b">
        <f>TRUE()</f>
        <v>1</v>
      </c>
      <c r="I37" s="17">
        <v>0</v>
      </c>
      <c r="J37" s="1" t="s">
        <v>428</v>
      </c>
      <c r="K37" s="1" t="s">
        <v>299</v>
      </c>
      <c r="L37" s="1" t="s">
        <v>429</v>
      </c>
      <c r="M37" s="17">
        <v>3800</v>
      </c>
      <c r="N37" s="17">
        <v>3800</v>
      </c>
      <c r="O37" s="18">
        <v>1</v>
      </c>
      <c r="P37" s="19">
        <v>100</v>
      </c>
      <c r="Q37" s="1" t="s">
        <v>430</v>
      </c>
      <c r="R37" s="1" t="s">
        <v>431</v>
      </c>
    </row>
    <row r="38" spans="1:18" ht="15" customHeight="1" x14ac:dyDescent="0.35">
      <c r="A38" s="1">
        <v>34</v>
      </c>
      <c r="B38" s="1" t="s">
        <v>415</v>
      </c>
      <c r="C38" s="1" t="s">
        <v>293</v>
      </c>
      <c r="D38" s="1">
        <v>2025</v>
      </c>
      <c r="E38" s="1" t="s">
        <v>416</v>
      </c>
      <c r="F38" s="1" t="s">
        <v>417</v>
      </c>
      <c r="G38" s="1" t="s">
        <v>422</v>
      </c>
      <c r="H38" s="1" t="b">
        <f>TRUE()</f>
        <v>1</v>
      </c>
      <c r="I38" s="17">
        <v>12</v>
      </c>
      <c r="J38" s="1" t="s">
        <v>428</v>
      </c>
      <c r="K38" s="1" t="s">
        <v>299</v>
      </c>
      <c r="L38" s="1" t="s">
        <v>429</v>
      </c>
      <c r="M38" s="17">
        <v>6500</v>
      </c>
      <c r="N38" s="17">
        <v>3500</v>
      </c>
      <c r="O38" s="18">
        <v>0.54</v>
      </c>
      <c r="P38" s="19">
        <v>54</v>
      </c>
      <c r="Q38" s="1" t="s">
        <v>430</v>
      </c>
      <c r="R38" s="1" t="s">
        <v>431</v>
      </c>
    </row>
    <row r="39" spans="1:18" ht="15" customHeight="1" x14ac:dyDescent="0.35">
      <c r="A39" s="1">
        <v>34</v>
      </c>
      <c r="B39" s="1" t="s">
        <v>415</v>
      </c>
      <c r="C39" s="1" t="s">
        <v>293</v>
      </c>
      <c r="D39" s="1">
        <v>2025</v>
      </c>
      <c r="E39" s="1" t="s">
        <v>416</v>
      </c>
      <c r="F39" s="1" t="s">
        <v>417</v>
      </c>
      <c r="G39" s="1" t="s">
        <v>422</v>
      </c>
      <c r="H39" s="1" t="b">
        <f>TRUE()</f>
        <v>1</v>
      </c>
      <c r="I39" s="17">
        <v>24</v>
      </c>
      <c r="J39" s="1" t="s">
        <v>428</v>
      </c>
      <c r="K39" s="1" t="s">
        <v>299</v>
      </c>
      <c r="L39" s="1" t="s">
        <v>429</v>
      </c>
      <c r="M39" s="17">
        <v>4000</v>
      </c>
      <c r="N39" s="17">
        <v>3500</v>
      </c>
      <c r="O39" s="18">
        <v>0.88</v>
      </c>
      <c r="P39" s="19">
        <v>88</v>
      </c>
      <c r="Q39" s="1" t="s">
        <v>430</v>
      </c>
      <c r="R39" s="1" t="s">
        <v>431</v>
      </c>
    </row>
    <row r="40" spans="1:18" ht="15" customHeight="1" x14ac:dyDescent="0.35">
      <c r="A40" s="1">
        <v>34</v>
      </c>
      <c r="B40" s="1" t="s">
        <v>415</v>
      </c>
      <c r="C40" s="1" t="s">
        <v>293</v>
      </c>
      <c r="D40" s="1">
        <v>2025</v>
      </c>
      <c r="E40" s="1" t="s">
        <v>416</v>
      </c>
      <c r="F40" s="1" t="s">
        <v>417</v>
      </c>
      <c r="G40" s="1" t="s">
        <v>422</v>
      </c>
      <c r="H40" s="1" t="b">
        <f>TRUE()</f>
        <v>1</v>
      </c>
      <c r="I40" s="17">
        <v>48</v>
      </c>
      <c r="J40" s="1" t="s">
        <v>428</v>
      </c>
      <c r="K40" s="1" t="s">
        <v>299</v>
      </c>
      <c r="L40" s="1" t="s">
        <v>429</v>
      </c>
      <c r="M40" s="17">
        <v>3500</v>
      </c>
      <c r="N40" s="17">
        <v>900</v>
      </c>
      <c r="O40" s="18">
        <v>0.26</v>
      </c>
      <c r="P40" s="19">
        <v>26</v>
      </c>
      <c r="Q40" s="1" t="s">
        <v>430</v>
      </c>
      <c r="R40" s="1" t="s">
        <v>431</v>
      </c>
    </row>
    <row r="41" spans="1:18" ht="15" customHeight="1" x14ac:dyDescent="0.35">
      <c r="A41" s="1">
        <v>34</v>
      </c>
      <c r="B41" s="1" t="s">
        <v>415</v>
      </c>
      <c r="C41" s="1" t="s">
        <v>293</v>
      </c>
      <c r="D41" s="1">
        <v>2025</v>
      </c>
      <c r="E41" s="1" t="s">
        <v>416</v>
      </c>
      <c r="F41" s="1" t="s">
        <v>417</v>
      </c>
      <c r="G41" s="1" t="s">
        <v>422</v>
      </c>
      <c r="H41" s="1" t="b">
        <f>TRUE()</f>
        <v>1</v>
      </c>
      <c r="I41" s="17">
        <v>72</v>
      </c>
      <c r="J41" s="1" t="s">
        <v>428</v>
      </c>
      <c r="K41" s="1" t="s">
        <v>299</v>
      </c>
      <c r="L41" s="1" t="s">
        <v>429</v>
      </c>
      <c r="M41" s="17">
        <v>2400</v>
      </c>
      <c r="N41" s="17">
        <v>6700</v>
      </c>
      <c r="O41" s="18">
        <v>2.79</v>
      </c>
      <c r="P41" s="19">
        <v>279</v>
      </c>
      <c r="Q41" s="1" t="s">
        <v>430</v>
      </c>
      <c r="R41" s="1" t="s">
        <v>431</v>
      </c>
    </row>
    <row r="42" spans="1:18" ht="15" customHeight="1" x14ac:dyDescent="0.35">
      <c r="A42" s="1">
        <v>34</v>
      </c>
      <c r="B42" s="1" t="s">
        <v>415</v>
      </c>
      <c r="C42" s="1" t="s">
        <v>293</v>
      </c>
      <c r="D42" s="1">
        <v>2025</v>
      </c>
      <c r="E42" s="1" t="s">
        <v>416</v>
      </c>
      <c r="F42" s="1" t="s">
        <v>417</v>
      </c>
      <c r="G42" s="1" t="s">
        <v>423</v>
      </c>
      <c r="H42" s="1" t="b">
        <f>TRUE()</f>
        <v>1</v>
      </c>
      <c r="I42" s="17">
        <v>0</v>
      </c>
      <c r="J42" s="1" t="s">
        <v>428</v>
      </c>
      <c r="K42" s="1" t="s">
        <v>299</v>
      </c>
      <c r="L42" s="1" t="s">
        <v>429</v>
      </c>
      <c r="M42" s="17">
        <v>3900</v>
      </c>
      <c r="N42" s="17">
        <v>3900</v>
      </c>
      <c r="O42" s="18">
        <v>1</v>
      </c>
      <c r="P42" s="19">
        <v>100</v>
      </c>
      <c r="Q42" s="1" t="s">
        <v>430</v>
      </c>
      <c r="R42" s="1" t="s">
        <v>431</v>
      </c>
    </row>
    <row r="43" spans="1:18" ht="15" customHeight="1" x14ac:dyDescent="0.35">
      <c r="A43" s="1">
        <v>34</v>
      </c>
      <c r="B43" s="1" t="s">
        <v>415</v>
      </c>
      <c r="C43" s="1" t="s">
        <v>293</v>
      </c>
      <c r="D43" s="1">
        <v>2025</v>
      </c>
      <c r="E43" s="1" t="s">
        <v>416</v>
      </c>
      <c r="F43" s="1" t="s">
        <v>417</v>
      </c>
      <c r="G43" s="1" t="s">
        <v>423</v>
      </c>
      <c r="H43" s="1" t="b">
        <f>TRUE()</f>
        <v>1</v>
      </c>
      <c r="I43" s="17">
        <v>12</v>
      </c>
      <c r="J43" s="1" t="s">
        <v>428</v>
      </c>
      <c r="K43" s="1" t="s">
        <v>299</v>
      </c>
      <c r="L43" s="1" t="s">
        <v>429</v>
      </c>
      <c r="M43" s="17">
        <v>900</v>
      </c>
      <c r="N43" s="17">
        <v>2500</v>
      </c>
      <c r="O43" s="18">
        <v>2.78</v>
      </c>
      <c r="P43" s="19">
        <v>278</v>
      </c>
      <c r="Q43" s="1" t="s">
        <v>430</v>
      </c>
      <c r="R43" s="1" t="s">
        <v>431</v>
      </c>
    </row>
    <row r="44" spans="1:18" ht="15" customHeight="1" x14ac:dyDescent="0.35">
      <c r="A44" s="1">
        <v>34</v>
      </c>
      <c r="B44" s="1" t="s">
        <v>415</v>
      </c>
      <c r="C44" s="1" t="s">
        <v>293</v>
      </c>
      <c r="D44" s="1">
        <v>2025</v>
      </c>
      <c r="E44" s="1" t="s">
        <v>416</v>
      </c>
      <c r="F44" s="1" t="s">
        <v>417</v>
      </c>
      <c r="G44" s="1" t="s">
        <v>423</v>
      </c>
      <c r="H44" s="1" t="b">
        <f>TRUE()</f>
        <v>1</v>
      </c>
      <c r="I44" s="17">
        <v>24</v>
      </c>
      <c r="J44" s="1" t="s">
        <v>428</v>
      </c>
      <c r="K44" s="1" t="s">
        <v>299</v>
      </c>
      <c r="L44" s="1" t="s">
        <v>429</v>
      </c>
      <c r="M44" s="17">
        <v>1100</v>
      </c>
      <c r="N44" s="17">
        <v>1000</v>
      </c>
      <c r="O44" s="18">
        <v>0.91</v>
      </c>
      <c r="P44" s="19">
        <v>91</v>
      </c>
      <c r="Q44" s="1" t="s">
        <v>430</v>
      </c>
      <c r="R44" s="1" t="s">
        <v>431</v>
      </c>
    </row>
    <row r="45" spans="1:18" ht="15" customHeight="1" x14ac:dyDescent="0.35">
      <c r="A45" s="1">
        <v>34</v>
      </c>
      <c r="B45" s="1" t="s">
        <v>415</v>
      </c>
      <c r="C45" s="1" t="s">
        <v>293</v>
      </c>
      <c r="D45" s="1">
        <v>2025</v>
      </c>
      <c r="E45" s="1" t="s">
        <v>416</v>
      </c>
      <c r="F45" s="1" t="s">
        <v>417</v>
      </c>
      <c r="G45" s="1" t="s">
        <v>423</v>
      </c>
      <c r="H45" s="1" t="b">
        <f>TRUE()</f>
        <v>1</v>
      </c>
      <c r="I45" s="17">
        <v>48</v>
      </c>
      <c r="J45" s="1" t="s">
        <v>428</v>
      </c>
      <c r="K45" s="1" t="s">
        <v>299</v>
      </c>
      <c r="L45" s="1" t="s">
        <v>429</v>
      </c>
      <c r="M45" s="17">
        <v>1400</v>
      </c>
      <c r="N45" s="17">
        <v>300</v>
      </c>
      <c r="O45" s="18">
        <v>0.21</v>
      </c>
      <c r="P45" s="19">
        <v>21</v>
      </c>
      <c r="Q45" s="1" t="s">
        <v>430</v>
      </c>
      <c r="R45" s="1" t="s">
        <v>431</v>
      </c>
    </row>
    <row r="46" spans="1:18" ht="15" customHeight="1" x14ac:dyDescent="0.35">
      <c r="A46" s="1">
        <v>34</v>
      </c>
      <c r="B46" s="1" t="s">
        <v>415</v>
      </c>
      <c r="C46" s="1" t="s">
        <v>293</v>
      </c>
      <c r="D46" s="1">
        <v>2025</v>
      </c>
      <c r="E46" s="1" t="s">
        <v>416</v>
      </c>
      <c r="F46" s="1" t="s">
        <v>417</v>
      </c>
      <c r="G46" s="1" t="s">
        <v>423</v>
      </c>
      <c r="H46" s="1" t="b">
        <f>TRUE()</f>
        <v>1</v>
      </c>
      <c r="I46" s="17">
        <v>72</v>
      </c>
      <c r="J46" s="1" t="s">
        <v>428</v>
      </c>
      <c r="K46" s="1" t="s">
        <v>299</v>
      </c>
      <c r="L46" s="1" t="s">
        <v>429</v>
      </c>
      <c r="M46" s="17">
        <v>450</v>
      </c>
      <c r="N46" s="17">
        <v>300</v>
      </c>
      <c r="O46" s="18">
        <v>0.67</v>
      </c>
      <c r="P46" s="19">
        <v>67</v>
      </c>
      <c r="Q46" s="1" t="s">
        <v>430</v>
      </c>
      <c r="R46" s="1" t="s">
        <v>431</v>
      </c>
    </row>
    <row r="47" spans="1:18" ht="15" customHeight="1" x14ac:dyDescent="0.35">
      <c r="A47" s="1">
        <v>35</v>
      </c>
      <c r="B47" s="1" t="s">
        <v>432</v>
      </c>
      <c r="C47" s="1" t="s">
        <v>248</v>
      </c>
      <c r="D47" s="1">
        <v>2022</v>
      </c>
      <c r="E47" s="1" t="s">
        <v>433</v>
      </c>
      <c r="F47" s="1" t="s">
        <v>45</v>
      </c>
      <c r="G47" s="1" t="s">
        <v>306</v>
      </c>
      <c r="H47" s="1" t="b">
        <f>TRUE()</f>
        <v>1</v>
      </c>
      <c r="I47" s="17">
        <v>24</v>
      </c>
      <c r="J47" s="1" t="s">
        <v>419</v>
      </c>
      <c r="K47" s="1" t="s">
        <v>308</v>
      </c>
      <c r="L47" s="1" t="s">
        <v>29</v>
      </c>
      <c r="M47"/>
      <c r="N47"/>
      <c r="O47" s="18">
        <v>0.35</v>
      </c>
      <c r="P47" s="19">
        <v>35</v>
      </c>
      <c r="Q47" s="1" t="s">
        <v>434</v>
      </c>
      <c r="R47" s="1" t="s">
        <v>435</v>
      </c>
    </row>
    <row r="48" spans="1:18" ht="15" customHeight="1" x14ac:dyDescent="0.35">
      <c r="A48" s="1">
        <v>35</v>
      </c>
      <c r="B48" s="1" t="s">
        <v>432</v>
      </c>
      <c r="C48" s="1" t="s">
        <v>248</v>
      </c>
      <c r="D48" s="1">
        <v>2022</v>
      </c>
      <c r="E48" s="1" t="s">
        <v>433</v>
      </c>
      <c r="F48" s="1" t="s">
        <v>45</v>
      </c>
      <c r="G48" s="1" t="s">
        <v>306</v>
      </c>
      <c r="H48" s="1" t="b">
        <f>TRUE()</f>
        <v>1</v>
      </c>
      <c r="I48" s="17">
        <v>48</v>
      </c>
      <c r="J48" s="1" t="s">
        <v>419</v>
      </c>
      <c r="K48" s="1" t="s">
        <v>308</v>
      </c>
      <c r="L48" s="1" t="s">
        <v>29</v>
      </c>
      <c r="M48"/>
      <c r="N48"/>
      <c r="O48" s="18">
        <v>0.06</v>
      </c>
      <c r="P48" s="19">
        <v>6</v>
      </c>
      <c r="Q48" s="1" t="s">
        <v>434</v>
      </c>
      <c r="R48" s="1" t="s">
        <v>435</v>
      </c>
    </row>
    <row r="49" spans="1:18" ht="15" customHeight="1" x14ac:dyDescent="0.35">
      <c r="A49" s="1">
        <v>35</v>
      </c>
      <c r="B49" s="1" t="s">
        <v>432</v>
      </c>
      <c r="C49" s="1" t="s">
        <v>248</v>
      </c>
      <c r="D49" s="1">
        <v>2022</v>
      </c>
      <c r="E49" s="1" t="s">
        <v>433</v>
      </c>
      <c r="F49" s="1" t="s">
        <v>45</v>
      </c>
      <c r="G49" s="1" t="s">
        <v>306</v>
      </c>
      <c r="H49" s="1" t="b">
        <f>TRUE()</f>
        <v>1</v>
      </c>
      <c r="I49" s="17">
        <v>72</v>
      </c>
      <c r="J49" s="1" t="s">
        <v>419</v>
      </c>
      <c r="K49" s="1" t="s">
        <v>308</v>
      </c>
      <c r="L49" s="1" t="s">
        <v>29</v>
      </c>
      <c r="M49"/>
      <c r="N49"/>
      <c r="O49" s="18">
        <v>0.38</v>
      </c>
      <c r="P49" s="19">
        <v>38</v>
      </c>
      <c r="Q49" s="1" t="s">
        <v>434</v>
      </c>
      <c r="R49" s="1" t="s">
        <v>435</v>
      </c>
    </row>
    <row r="50" spans="1:18" ht="15" customHeight="1" x14ac:dyDescent="0.35">
      <c r="A50" s="1">
        <v>35</v>
      </c>
      <c r="B50" s="1" t="s">
        <v>432</v>
      </c>
      <c r="C50" s="1" t="s">
        <v>248</v>
      </c>
      <c r="D50" s="1">
        <v>2022</v>
      </c>
      <c r="E50" s="1" t="s">
        <v>433</v>
      </c>
      <c r="F50" s="1" t="s">
        <v>45</v>
      </c>
      <c r="G50" s="1" t="s">
        <v>306</v>
      </c>
      <c r="H50" s="1" t="b">
        <f>TRUE()</f>
        <v>1</v>
      </c>
      <c r="I50" s="17">
        <v>96</v>
      </c>
      <c r="J50" s="1" t="s">
        <v>419</v>
      </c>
      <c r="K50" s="1" t="s">
        <v>308</v>
      </c>
      <c r="L50" s="1" t="s">
        <v>29</v>
      </c>
      <c r="M50"/>
      <c r="N50"/>
      <c r="O50" s="18">
        <v>12</v>
      </c>
      <c r="P50" s="19">
        <v>1200</v>
      </c>
      <c r="Q50" s="1" t="s">
        <v>434</v>
      </c>
      <c r="R50" s="1" t="s">
        <v>435</v>
      </c>
    </row>
    <row r="51" spans="1:18" ht="15" customHeight="1" x14ac:dyDescent="0.35">
      <c r="A51" s="1">
        <v>35</v>
      </c>
      <c r="B51" s="1" t="s">
        <v>432</v>
      </c>
      <c r="C51" s="1" t="s">
        <v>248</v>
      </c>
      <c r="D51" s="1">
        <v>2022</v>
      </c>
      <c r="E51" s="1" t="s">
        <v>433</v>
      </c>
      <c r="F51" s="1" t="s">
        <v>45</v>
      </c>
      <c r="G51" s="1" t="s">
        <v>436</v>
      </c>
      <c r="H51" s="1" t="b">
        <f>FALSE()</f>
        <v>0</v>
      </c>
      <c r="I51" s="17">
        <v>24</v>
      </c>
      <c r="J51" s="1" t="s">
        <v>419</v>
      </c>
      <c r="K51" s="1" t="s">
        <v>308</v>
      </c>
      <c r="L51" s="1" t="s">
        <v>29</v>
      </c>
      <c r="M51"/>
      <c r="N51"/>
      <c r="O51" s="18">
        <v>5.2</v>
      </c>
      <c r="P51" s="19">
        <v>520</v>
      </c>
      <c r="Q51" s="1" t="s">
        <v>434</v>
      </c>
      <c r="R51" s="1" t="s">
        <v>435</v>
      </c>
    </row>
    <row r="52" spans="1:18" ht="15" customHeight="1" x14ac:dyDescent="0.35">
      <c r="A52" s="1">
        <v>35</v>
      </c>
      <c r="B52" s="1" t="s">
        <v>432</v>
      </c>
      <c r="C52" s="1" t="s">
        <v>248</v>
      </c>
      <c r="D52" s="1">
        <v>2022</v>
      </c>
      <c r="E52" s="1" t="s">
        <v>433</v>
      </c>
      <c r="F52" s="1" t="s">
        <v>45</v>
      </c>
      <c r="G52" s="1" t="s">
        <v>436</v>
      </c>
      <c r="H52" s="1" t="b">
        <f>FALSE()</f>
        <v>0</v>
      </c>
      <c r="I52" s="17">
        <v>48</v>
      </c>
      <c r="J52" s="1" t="s">
        <v>419</v>
      </c>
      <c r="K52" s="1" t="s">
        <v>308</v>
      </c>
      <c r="L52" s="1" t="s">
        <v>29</v>
      </c>
      <c r="M52"/>
      <c r="N52"/>
      <c r="O52" s="18">
        <v>3.5</v>
      </c>
      <c r="P52" s="19">
        <v>350</v>
      </c>
      <c r="Q52" s="1" t="s">
        <v>434</v>
      </c>
      <c r="R52" s="1" t="s">
        <v>435</v>
      </c>
    </row>
    <row r="53" spans="1:18" ht="15" customHeight="1" x14ac:dyDescent="0.35">
      <c r="A53" s="1">
        <v>35</v>
      </c>
      <c r="B53" s="1" t="s">
        <v>432</v>
      </c>
      <c r="C53" s="1" t="s">
        <v>248</v>
      </c>
      <c r="D53" s="1">
        <v>2022</v>
      </c>
      <c r="E53" s="1" t="s">
        <v>433</v>
      </c>
      <c r="F53" s="1" t="s">
        <v>45</v>
      </c>
      <c r="G53" s="1" t="s">
        <v>436</v>
      </c>
      <c r="H53" s="1" t="b">
        <f>FALSE()</f>
        <v>0</v>
      </c>
      <c r="I53" s="17">
        <v>72</v>
      </c>
      <c r="J53" s="1" t="s">
        <v>419</v>
      </c>
      <c r="K53" s="1" t="s">
        <v>308</v>
      </c>
      <c r="L53" s="1" t="s">
        <v>29</v>
      </c>
      <c r="M53"/>
      <c r="N53"/>
      <c r="O53" s="18">
        <v>3</v>
      </c>
      <c r="P53" s="19">
        <v>300</v>
      </c>
      <c r="Q53" s="1" t="s">
        <v>434</v>
      </c>
      <c r="R53" s="1" t="s">
        <v>435</v>
      </c>
    </row>
    <row r="54" spans="1:18" ht="15" customHeight="1" x14ac:dyDescent="0.35">
      <c r="A54" s="1">
        <v>35</v>
      </c>
      <c r="B54" s="1" t="s">
        <v>432</v>
      </c>
      <c r="C54" s="1" t="s">
        <v>248</v>
      </c>
      <c r="D54" s="1">
        <v>2022</v>
      </c>
      <c r="E54" s="1" t="s">
        <v>433</v>
      </c>
      <c r="F54" s="1" t="s">
        <v>45</v>
      </c>
      <c r="G54" s="1" t="s">
        <v>436</v>
      </c>
      <c r="H54" s="1" t="b">
        <f>FALSE()</f>
        <v>0</v>
      </c>
      <c r="I54" s="17">
        <v>96</v>
      </c>
      <c r="J54" s="1" t="s">
        <v>419</v>
      </c>
      <c r="K54" s="1" t="s">
        <v>308</v>
      </c>
      <c r="L54" s="1" t="s">
        <v>29</v>
      </c>
      <c r="M54"/>
      <c r="N54"/>
      <c r="O54" s="18">
        <v>58</v>
      </c>
      <c r="P54" s="19">
        <v>5800</v>
      </c>
      <c r="Q54" s="1" t="s">
        <v>434</v>
      </c>
      <c r="R54" s="1" t="s">
        <v>435</v>
      </c>
    </row>
    <row r="55" spans="1:18" ht="15" customHeight="1" x14ac:dyDescent="0.35">
      <c r="A55" s="1">
        <v>35</v>
      </c>
      <c r="B55" s="1" t="s">
        <v>432</v>
      </c>
      <c r="C55" s="1" t="s">
        <v>248</v>
      </c>
      <c r="D55" s="1">
        <v>2022</v>
      </c>
      <c r="E55" s="1" t="s">
        <v>433</v>
      </c>
      <c r="F55" s="1" t="s">
        <v>45</v>
      </c>
      <c r="G55" s="1" t="s">
        <v>437</v>
      </c>
      <c r="H55" s="1" t="b">
        <f>FALSE()</f>
        <v>0</v>
      </c>
      <c r="I55" s="17">
        <v>24</v>
      </c>
      <c r="J55" s="1" t="s">
        <v>419</v>
      </c>
      <c r="K55" s="1" t="s">
        <v>308</v>
      </c>
      <c r="L55" s="1" t="s">
        <v>29</v>
      </c>
      <c r="M55"/>
      <c r="N55"/>
      <c r="O55" s="18">
        <v>4.5</v>
      </c>
      <c r="P55" s="19">
        <v>450</v>
      </c>
      <c r="Q55" s="1" t="s">
        <v>434</v>
      </c>
      <c r="R55" s="1" t="s">
        <v>435</v>
      </c>
    </row>
    <row r="56" spans="1:18" ht="15" customHeight="1" x14ac:dyDescent="0.35">
      <c r="A56" s="1">
        <v>35</v>
      </c>
      <c r="B56" s="1" t="s">
        <v>432</v>
      </c>
      <c r="C56" s="1" t="s">
        <v>248</v>
      </c>
      <c r="D56" s="1">
        <v>2022</v>
      </c>
      <c r="E56" s="1" t="s">
        <v>433</v>
      </c>
      <c r="F56" s="1" t="s">
        <v>45</v>
      </c>
      <c r="G56" s="1" t="s">
        <v>437</v>
      </c>
      <c r="H56" s="1" t="b">
        <f>FALSE()</f>
        <v>0</v>
      </c>
      <c r="I56" s="17">
        <v>48</v>
      </c>
      <c r="J56" s="1" t="s">
        <v>419</v>
      </c>
      <c r="K56" s="1" t="s">
        <v>308</v>
      </c>
      <c r="L56" s="1" t="s">
        <v>29</v>
      </c>
      <c r="M56"/>
      <c r="N56"/>
      <c r="O56" s="18">
        <v>5.0999999999999996</v>
      </c>
      <c r="P56" s="19">
        <v>510</v>
      </c>
      <c r="Q56" s="1" t="s">
        <v>434</v>
      </c>
      <c r="R56" s="1" t="s">
        <v>435</v>
      </c>
    </row>
    <row r="57" spans="1:18" ht="15" customHeight="1" x14ac:dyDescent="0.35">
      <c r="A57" s="1">
        <v>35</v>
      </c>
      <c r="B57" s="1" t="s">
        <v>432</v>
      </c>
      <c r="C57" s="1" t="s">
        <v>248</v>
      </c>
      <c r="D57" s="1">
        <v>2022</v>
      </c>
      <c r="E57" s="1" t="s">
        <v>433</v>
      </c>
      <c r="F57" s="1" t="s">
        <v>45</v>
      </c>
      <c r="G57" s="1" t="s">
        <v>437</v>
      </c>
      <c r="H57" s="1" t="b">
        <f>FALSE()</f>
        <v>0</v>
      </c>
      <c r="I57" s="17">
        <v>72</v>
      </c>
      <c r="J57" s="1" t="s">
        <v>419</v>
      </c>
      <c r="K57" s="1" t="s">
        <v>308</v>
      </c>
      <c r="L57" s="1" t="s">
        <v>29</v>
      </c>
      <c r="M57"/>
      <c r="N57"/>
      <c r="O57" s="18">
        <v>2.2999999999999998</v>
      </c>
      <c r="P57" s="19">
        <v>230</v>
      </c>
      <c r="Q57" s="1" t="s">
        <v>434</v>
      </c>
      <c r="R57" s="1" t="s">
        <v>435</v>
      </c>
    </row>
    <row r="58" spans="1:18" ht="15" customHeight="1" x14ac:dyDescent="0.35">
      <c r="A58" s="1">
        <v>35</v>
      </c>
      <c r="B58" s="1" t="s">
        <v>432</v>
      </c>
      <c r="C58" s="1" t="s">
        <v>248</v>
      </c>
      <c r="D58" s="1">
        <v>2022</v>
      </c>
      <c r="E58" s="1" t="s">
        <v>433</v>
      </c>
      <c r="F58" s="1" t="s">
        <v>45</v>
      </c>
      <c r="G58" s="1" t="s">
        <v>437</v>
      </c>
      <c r="H58" s="1" t="b">
        <f>FALSE()</f>
        <v>0</v>
      </c>
      <c r="I58" s="17">
        <v>96</v>
      </c>
      <c r="J58" s="1" t="s">
        <v>419</v>
      </c>
      <c r="K58" s="1" t="s">
        <v>308</v>
      </c>
      <c r="L58" s="1" t="s">
        <v>29</v>
      </c>
      <c r="M58"/>
      <c r="N58"/>
      <c r="O58" s="18">
        <v>40</v>
      </c>
      <c r="P58" s="19">
        <v>4000</v>
      </c>
      <c r="Q58" s="1" t="s">
        <v>434</v>
      </c>
      <c r="R58" s="1" t="s">
        <v>435</v>
      </c>
    </row>
    <row r="59" spans="1:18" ht="15" customHeight="1" x14ac:dyDescent="0.35">
      <c r="A59" s="1">
        <v>35</v>
      </c>
      <c r="B59" s="1" t="s">
        <v>432</v>
      </c>
      <c r="C59" s="1" t="s">
        <v>248</v>
      </c>
      <c r="D59" s="1">
        <v>2022</v>
      </c>
      <c r="E59" s="1" t="s">
        <v>433</v>
      </c>
      <c r="F59" s="1" t="s">
        <v>45</v>
      </c>
      <c r="G59" s="1" t="s">
        <v>438</v>
      </c>
      <c r="H59" s="1" t="b">
        <f>FALSE()</f>
        <v>0</v>
      </c>
      <c r="I59" s="17">
        <v>24</v>
      </c>
      <c r="J59" s="1" t="s">
        <v>419</v>
      </c>
      <c r="K59" s="1" t="s">
        <v>308</v>
      </c>
      <c r="L59" s="1" t="s">
        <v>29</v>
      </c>
      <c r="M59"/>
      <c r="N59"/>
      <c r="O59" s="18">
        <v>5.5</v>
      </c>
      <c r="P59" s="19">
        <v>550</v>
      </c>
      <c r="Q59" s="1" t="s">
        <v>434</v>
      </c>
      <c r="R59" s="1" t="s">
        <v>435</v>
      </c>
    </row>
    <row r="60" spans="1:18" ht="15" customHeight="1" x14ac:dyDescent="0.35">
      <c r="A60" s="1">
        <v>35</v>
      </c>
      <c r="B60" s="1" t="s">
        <v>432</v>
      </c>
      <c r="C60" s="1" t="s">
        <v>248</v>
      </c>
      <c r="D60" s="1">
        <v>2022</v>
      </c>
      <c r="E60" s="1" t="s">
        <v>433</v>
      </c>
      <c r="F60" s="1" t="s">
        <v>45</v>
      </c>
      <c r="G60" s="1" t="s">
        <v>438</v>
      </c>
      <c r="H60" s="1" t="b">
        <f>FALSE()</f>
        <v>0</v>
      </c>
      <c r="I60" s="17">
        <v>48</v>
      </c>
      <c r="J60" s="1" t="s">
        <v>419</v>
      </c>
      <c r="K60" s="1" t="s">
        <v>308</v>
      </c>
      <c r="L60" s="1" t="s">
        <v>29</v>
      </c>
      <c r="M60"/>
      <c r="N60"/>
      <c r="O60" s="18">
        <v>1.5</v>
      </c>
      <c r="P60" s="19">
        <v>150</v>
      </c>
      <c r="Q60" s="1" t="s">
        <v>434</v>
      </c>
      <c r="R60" s="1" t="s">
        <v>435</v>
      </c>
    </row>
    <row r="61" spans="1:18" ht="15" customHeight="1" x14ac:dyDescent="0.35">
      <c r="A61" s="1">
        <v>35</v>
      </c>
      <c r="B61" s="1" t="s">
        <v>432</v>
      </c>
      <c r="C61" s="1" t="s">
        <v>248</v>
      </c>
      <c r="D61" s="1">
        <v>2022</v>
      </c>
      <c r="E61" s="1" t="s">
        <v>433</v>
      </c>
      <c r="F61" s="1" t="s">
        <v>45</v>
      </c>
      <c r="G61" s="1" t="s">
        <v>438</v>
      </c>
      <c r="H61" s="1" t="b">
        <f>FALSE()</f>
        <v>0</v>
      </c>
      <c r="I61" s="17">
        <v>72</v>
      </c>
      <c r="J61" s="1" t="s">
        <v>419</v>
      </c>
      <c r="K61" s="1" t="s">
        <v>308</v>
      </c>
      <c r="L61" s="1" t="s">
        <v>29</v>
      </c>
      <c r="M61"/>
      <c r="N61"/>
      <c r="O61" s="18">
        <v>1</v>
      </c>
      <c r="P61" s="19">
        <v>100</v>
      </c>
      <c r="Q61" s="1" t="s">
        <v>434</v>
      </c>
      <c r="R61" s="1" t="s">
        <v>435</v>
      </c>
    </row>
    <row r="62" spans="1:18" ht="15" customHeight="1" x14ac:dyDescent="0.35">
      <c r="A62" s="1">
        <v>35</v>
      </c>
      <c r="B62" s="1" t="s">
        <v>432</v>
      </c>
      <c r="C62" s="1" t="s">
        <v>248</v>
      </c>
      <c r="D62" s="1">
        <v>2022</v>
      </c>
      <c r="E62" s="1" t="s">
        <v>433</v>
      </c>
      <c r="F62" s="1" t="s">
        <v>45</v>
      </c>
      <c r="G62" s="1" t="s">
        <v>438</v>
      </c>
      <c r="H62" s="1" t="b">
        <f>FALSE()</f>
        <v>0</v>
      </c>
      <c r="I62" s="17">
        <v>96</v>
      </c>
      <c r="J62" s="1" t="s">
        <v>419</v>
      </c>
      <c r="K62" s="1" t="s">
        <v>308</v>
      </c>
      <c r="L62" s="1" t="s">
        <v>29</v>
      </c>
      <c r="M62"/>
      <c r="N62"/>
      <c r="O62" s="18">
        <v>4.5</v>
      </c>
      <c r="P62" s="19">
        <v>450</v>
      </c>
      <c r="Q62" s="1" t="s">
        <v>434</v>
      </c>
      <c r="R62" s="1" t="s">
        <v>435</v>
      </c>
    </row>
    <row r="63" spans="1:18" ht="15" customHeight="1" x14ac:dyDescent="0.35">
      <c r="A63" s="1">
        <v>35</v>
      </c>
      <c r="B63" s="1" t="s">
        <v>432</v>
      </c>
      <c r="C63" s="1" t="s">
        <v>248</v>
      </c>
      <c r="D63" s="1">
        <v>2022</v>
      </c>
      <c r="E63" s="1" t="s">
        <v>433</v>
      </c>
      <c r="F63" s="1" t="s">
        <v>45</v>
      </c>
      <c r="G63" s="1" t="s">
        <v>439</v>
      </c>
      <c r="H63" s="1" t="b">
        <f>FALSE()</f>
        <v>0</v>
      </c>
      <c r="I63" s="17">
        <v>24</v>
      </c>
      <c r="J63" s="1" t="s">
        <v>419</v>
      </c>
      <c r="K63" s="1" t="s">
        <v>308</v>
      </c>
      <c r="L63" s="1" t="s">
        <v>29</v>
      </c>
      <c r="M63"/>
      <c r="N63"/>
      <c r="O63" s="18">
        <v>0.85</v>
      </c>
      <c r="P63" s="19">
        <v>85</v>
      </c>
      <c r="Q63" s="1" t="s">
        <v>434</v>
      </c>
      <c r="R63" s="1" t="s">
        <v>435</v>
      </c>
    </row>
    <row r="64" spans="1:18" ht="15" customHeight="1" x14ac:dyDescent="0.35">
      <c r="A64" s="1">
        <v>35</v>
      </c>
      <c r="B64" s="1" t="s">
        <v>432</v>
      </c>
      <c r="C64" s="1" t="s">
        <v>248</v>
      </c>
      <c r="D64" s="1">
        <v>2022</v>
      </c>
      <c r="E64" s="1" t="s">
        <v>433</v>
      </c>
      <c r="F64" s="1" t="s">
        <v>45</v>
      </c>
      <c r="G64" s="1" t="s">
        <v>439</v>
      </c>
      <c r="H64" s="1" t="b">
        <f>FALSE()</f>
        <v>0</v>
      </c>
      <c r="I64" s="17">
        <v>48</v>
      </c>
      <c r="J64" s="1" t="s">
        <v>419</v>
      </c>
      <c r="K64" s="1" t="s">
        <v>308</v>
      </c>
      <c r="L64" s="1" t="s">
        <v>29</v>
      </c>
      <c r="M64"/>
      <c r="N64"/>
      <c r="O64" s="18">
        <v>0.8</v>
      </c>
      <c r="P64" s="19">
        <v>80</v>
      </c>
      <c r="Q64" s="1" t="s">
        <v>434</v>
      </c>
      <c r="R64" s="1" t="s">
        <v>435</v>
      </c>
    </row>
    <row r="65" spans="1:18" ht="15" customHeight="1" x14ac:dyDescent="0.35">
      <c r="A65" s="1">
        <v>35</v>
      </c>
      <c r="B65" s="1" t="s">
        <v>432</v>
      </c>
      <c r="C65" s="1" t="s">
        <v>248</v>
      </c>
      <c r="D65" s="1">
        <v>2022</v>
      </c>
      <c r="E65" s="1" t="s">
        <v>433</v>
      </c>
      <c r="F65" s="1" t="s">
        <v>45</v>
      </c>
      <c r="G65" s="1" t="s">
        <v>439</v>
      </c>
      <c r="H65" s="1" t="b">
        <f>FALSE()</f>
        <v>0</v>
      </c>
      <c r="I65" s="17">
        <v>72</v>
      </c>
      <c r="J65" s="1" t="s">
        <v>419</v>
      </c>
      <c r="K65" s="1" t="s">
        <v>308</v>
      </c>
      <c r="L65" s="1" t="s">
        <v>29</v>
      </c>
      <c r="M65"/>
      <c r="N65"/>
      <c r="O65" s="18">
        <v>0.82</v>
      </c>
      <c r="P65" s="19">
        <v>82</v>
      </c>
      <c r="Q65" s="1" t="s">
        <v>434</v>
      </c>
      <c r="R65" s="1" t="s">
        <v>435</v>
      </c>
    </row>
    <row r="66" spans="1:18" ht="15" customHeight="1" x14ac:dyDescent="0.35">
      <c r="A66" s="1">
        <v>35</v>
      </c>
      <c r="B66" s="1" t="s">
        <v>432</v>
      </c>
      <c r="C66" s="1" t="s">
        <v>248</v>
      </c>
      <c r="D66" s="1">
        <v>2022</v>
      </c>
      <c r="E66" s="1" t="s">
        <v>433</v>
      </c>
      <c r="F66" s="1" t="s">
        <v>45</v>
      </c>
      <c r="G66" s="1" t="s">
        <v>439</v>
      </c>
      <c r="H66" s="1" t="b">
        <f>FALSE()</f>
        <v>0</v>
      </c>
      <c r="I66" s="17">
        <v>96</v>
      </c>
      <c r="J66" s="1" t="s">
        <v>419</v>
      </c>
      <c r="K66" s="1" t="s">
        <v>308</v>
      </c>
      <c r="L66" s="1" t="s">
        <v>29</v>
      </c>
      <c r="M66"/>
      <c r="N66"/>
      <c r="O66" s="18">
        <v>8.6</v>
      </c>
      <c r="P66" s="19">
        <v>860</v>
      </c>
      <c r="Q66" s="1" t="s">
        <v>434</v>
      </c>
      <c r="R66" s="1" t="s">
        <v>435</v>
      </c>
    </row>
    <row r="67" spans="1:18" ht="15" customHeight="1" x14ac:dyDescent="0.35">
      <c r="A67" s="1">
        <v>35</v>
      </c>
      <c r="B67" s="1" t="s">
        <v>432</v>
      </c>
      <c r="C67" s="1" t="s">
        <v>248</v>
      </c>
      <c r="D67" s="1">
        <v>2022</v>
      </c>
      <c r="E67" s="1" t="s">
        <v>433</v>
      </c>
      <c r="F67" s="1" t="s">
        <v>45</v>
      </c>
      <c r="G67" s="1" t="s">
        <v>440</v>
      </c>
      <c r="H67" s="1" t="b">
        <f>FALSE()</f>
        <v>0</v>
      </c>
      <c r="I67" s="17">
        <v>24</v>
      </c>
      <c r="J67" s="1" t="s">
        <v>419</v>
      </c>
      <c r="K67" s="1" t="s">
        <v>308</v>
      </c>
      <c r="L67" s="1" t="s">
        <v>29</v>
      </c>
      <c r="M67"/>
      <c r="N67"/>
      <c r="O67" s="18">
        <v>0.44</v>
      </c>
      <c r="P67" s="19">
        <v>44</v>
      </c>
      <c r="Q67" s="1" t="s">
        <v>434</v>
      </c>
      <c r="R67" s="1" t="s">
        <v>435</v>
      </c>
    </row>
    <row r="68" spans="1:18" ht="15" customHeight="1" x14ac:dyDescent="0.35">
      <c r="A68" s="1">
        <v>35</v>
      </c>
      <c r="B68" s="1" t="s">
        <v>432</v>
      </c>
      <c r="C68" s="1" t="s">
        <v>248</v>
      </c>
      <c r="D68" s="1">
        <v>2022</v>
      </c>
      <c r="E68" s="1" t="s">
        <v>433</v>
      </c>
      <c r="F68" s="1" t="s">
        <v>45</v>
      </c>
      <c r="G68" s="1" t="s">
        <v>440</v>
      </c>
      <c r="H68" s="1" t="b">
        <f>FALSE()</f>
        <v>0</v>
      </c>
      <c r="I68" s="17">
        <v>48</v>
      </c>
      <c r="J68" s="1" t="s">
        <v>419</v>
      </c>
      <c r="K68" s="1" t="s">
        <v>308</v>
      </c>
      <c r="L68" s="1" t="s">
        <v>29</v>
      </c>
      <c r="M68"/>
      <c r="N68"/>
      <c r="O68" s="18">
        <v>0.26</v>
      </c>
      <c r="P68" s="19">
        <v>26</v>
      </c>
      <c r="Q68" s="1" t="s">
        <v>434</v>
      </c>
      <c r="R68" s="1" t="s">
        <v>435</v>
      </c>
    </row>
    <row r="69" spans="1:18" ht="15" customHeight="1" x14ac:dyDescent="0.35">
      <c r="A69" s="1">
        <v>35</v>
      </c>
      <c r="B69" s="1" t="s">
        <v>432</v>
      </c>
      <c r="C69" s="1" t="s">
        <v>248</v>
      </c>
      <c r="D69" s="1">
        <v>2022</v>
      </c>
      <c r="E69" s="1" t="s">
        <v>433</v>
      </c>
      <c r="F69" s="1" t="s">
        <v>45</v>
      </c>
      <c r="G69" s="1" t="s">
        <v>440</v>
      </c>
      <c r="H69" s="1" t="b">
        <f>FALSE()</f>
        <v>0</v>
      </c>
      <c r="I69" s="17">
        <v>72</v>
      </c>
      <c r="J69" s="1" t="s">
        <v>419</v>
      </c>
      <c r="K69" s="1" t="s">
        <v>308</v>
      </c>
      <c r="L69" s="1" t="s">
        <v>29</v>
      </c>
      <c r="M69"/>
      <c r="N69"/>
      <c r="O69" s="18">
        <v>0.65</v>
      </c>
      <c r="P69" s="19">
        <v>65</v>
      </c>
      <c r="Q69" s="1" t="s">
        <v>434</v>
      </c>
      <c r="R69" s="1" t="s">
        <v>435</v>
      </c>
    </row>
    <row r="70" spans="1:18" ht="15" customHeight="1" x14ac:dyDescent="0.35">
      <c r="A70" s="1">
        <v>35</v>
      </c>
      <c r="B70" s="1" t="s">
        <v>432</v>
      </c>
      <c r="C70" s="1" t="s">
        <v>248</v>
      </c>
      <c r="D70" s="1">
        <v>2022</v>
      </c>
      <c r="E70" s="1" t="s">
        <v>433</v>
      </c>
      <c r="F70" s="1" t="s">
        <v>45</v>
      </c>
      <c r="G70" s="1" t="s">
        <v>440</v>
      </c>
      <c r="H70" s="1" t="b">
        <f>FALSE()</f>
        <v>0</v>
      </c>
      <c r="I70" s="17">
        <v>96</v>
      </c>
      <c r="J70" s="1" t="s">
        <v>419</v>
      </c>
      <c r="K70" s="1" t="s">
        <v>308</v>
      </c>
      <c r="L70" s="1" t="s">
        <v>29</v>
      </c>
      <c r="M70"/>
      <c r="N70"/>
      <c r="O70" s="18">
        <v>126</v>
      </c>
      <c r="P70" s="19">
        <v>12600</v>
      </c>
      <c r="Q70" s="1" t="s">
        <v>434</v>
      </c>
      <c r="R70" s="1" t="s">
        <v>435</v>
      </c>
    </row>
    <row r="71" spans="1:18" ht="15" customHeight="1" x14ac:dyDescent="0.35">
      <c r="A71" s="1">
        <v>35</v>
      </c>
      <c r="B71" s="1" t="s">
        <v>432</v>
      </c>
      <c r="C71" s="1" t="s">
        <v>248</v>
      </c>
      <c r="D71" s="1">
        <v>2022</v>
      </c>
      <c r="E71" s="1" t="s">
        <v>433</v>
      </c>
      <c r="F71" s="1" t="s">
        <v>45</v>
      </c>
      <c r="G71" s="1" t="s">
        <v>441</v>
      </c>
      <c r="H71" s="1" t="b">
        <f>FALSE()</f>
        <v>0</v>
      </c>
      <c r="I71" s="17">
        <v>24</v>
      </c>
      <c r="J71" s="1" t="s">
        <v>419</v>
      </c>
      <c r="K71" s="1" t="s">
        <v>308</v>
      </c>
      <c r="L71" s="1" t="s">
        <v>29</v>
      </c>
      <c r="M71"/>
      <c r="N71"/>
      <c r="O71" s="18">
        <v>0.36</v>
      </c>
      <c r="P71" s="19">
        <v>36</v>
      </c>
      <c r="Q71" s="1" t="s">
        <v>434</v>
      </c>
      <c r="R71" s="1" t="s">
        <v>435</v>
      </c>
    </row>
    <row r="72" spans="1:18" ht="15" customHeight="1" x14ac:dyDescent="0.35">
      <c r="A72" s="1">
        <v>35</v>
      </c>
      <c r="B72" s="1" t="s">
        <v>432</v>
      </c>
      <c r="C72" s="1" t="s">
        <v>248</v>
      </c>
      <c r="D72" s="1">
        <v>2022</v>
      </c>
      <c r="E72" s="1" t="s">
        <v>433</v>
      </c>
      <c r="F72" s="1" t="s">
        <v>45</v>
      </c>
      <c r="G72" s="1" t="s">
        <v>441</v>
      </c>
      <c r="H72" s="1" t="b">
        <f>FALSE()</f>
        <v>0</v>
      </c>
      <c r="I72" s="17">
        <v>48</v>
      </c>
      <c r="J72" s="1" t="s">
        <v>419</v>
      </c>
      <c r="K72" s="1" t="s">
        <v>308</v>
      </c>
      <c r="L72" s="1" t="s">
        <v>29</v>
      </c>
      <c r="M72"/>
      <c r="N72"/>
      <c r="O72" s="18">
        <v>0.64</v>
      </c>
      <c r="P72" s="19">
        <v>64</v>
      </c>
      <c r="Q72" s="1" t="s">
        <v>434</v>
      </c>
      <c r="R72" s="1" t="s">
        <v>435</v>
      </c>
    </row>
    <row r="73" spans="1:18" ht="15" customHeight="1" x14ac:dyDescent="0.35">
      <c r="A73" s="1">
        <v>35</v>
      </c>
      <c r="B73" s="1" t="s">
        <v>432</v>
      </c>
      <c r="C73" s="1" t="s">
        <v>248</v>
      </c>
      <c r="D73" s="1">
        <v>2022</v>
      </c>
      <c r="E73" s="1" t="s">
        <v>433</v>
      </c>
      <c r="F73" s="1" t="s">
        <v>45</v>
      </c>
      <c r="G73" s="1" t="s">
        <v>441</v>
      </c>
      <c r="H73" s="1" t="b">
        <f>FALSE()</f>
        <v>0</v>
      </c>
      <c r="I73" s="17">
        <v>72</v>
      </c>
      <c r="J73" s="1" t="s">
        <v>419</v>
      </c>
      <c r="K73" s="1" t="s">
        <v>308</v>
      </c>
      <c r="L73" s="1" t="s">
        <v>29</v>
      </c>
      <c r="M73"/>
      <c r="N73"/>
      <c r="O73" s="18">
        <v>0.94</v>
      </c>
      <c r="P73" s="19">
        <v>94</v>
      </c>
      <c r="Q73" s="1" t="s">
        <v>434</v>
      </c>
      <c r="R73" s="1" t="s">
        <v>435</v>
      </c>
    </row>
    <row r="74" spans="1:18" ht="15" customHeight="1" x14ac:dyDescent="0.35">
      <c r="A74" s="1">
        <v>35</v>
      </c>
      <c r="B74" s="1" t="s">
        <v>432</v>
      </c>
      <c r="C74" s="1" t="s">
        <v>248</v>
      </c>
      <c r="D74" s="1">
        <v>2022</v>
      </c>
      <c r="E74" s="1" t="s">
        <v>433</v>
      </c>
      <c r="F74" s="1" t="s">
        <v>45</v>
      </c>
      <c r="G74" s="1" t="s">
        <v>441</v>
      </c>
      <c r="H74" s="1" t="b">
        <f>FALSE()</f>
        <v>0</v>
      </c>
      <c r="I74" s="17">
        <v>96</v>
      </c>
      <c r="J74" s="1" t="s">
        <v>419</v>
      </c>
      <c r="K74" s="1" t="s">
        <v>308</v>
      </c>
      <c r="L74" s="1" t="s">
        <v>29</v>
      </c>
      <c r="M74"/>
      <c r="N74"/>
      <c r="O74" s="18">
        <v>22</v>
      </c>
      <c r="P74" s="19">
        <v>2200</v>
      </c>
      <c r="Q74" s="1" t="s">
        <v>434</v>
      </c>
      <c r="R74" s="1" t="s">
        <v>435</v>
      </c>
    </row>
    <row r="75" spans="1:18" ht="15" customHeight="1" x14ac:dyDescent="0.35">
      <c r="A75" s="1">
        <v>35</v>
      </c>
      <c r="B75" s="1" t="s">
        <v>432</v>
      </c>
      <c r="C75" s="1" t="s">
        <v>248</v>
      </c>
      <c r="D75" s="1">
        <v>2022</v>
      </c>
      <c r="E75" s="1" t="s">
        <v>433</v>
      </c>
      <c r="F75" s="1" t="s">
        <v>45</v>
      </c>
      <c r="G75" s="1" t="s">
        <v>306</v>
      </c>
      <c r="H75" s="1" t="b">
        <f>TRUE()</f>
        <v>1</v>
      </c>
      <c r="I75" s="17">
        <v>24</v>
      </c>
      <c r="J75" s="1" t="s">
        <v>442</v>
      </c>
      <c r="K75" s="1" t="s">
        <v>308</v>
      </c>
      <c r="L75" s="1" t="s">
        <v>154</v>
      </c>
      <c r="M75"/>
      <c r="N75"/>
      <c r="O75" s="18">
        <v>0.48399999999999999</v>
      </c>
      <c r="P75" s="19">
        <v>48.4</v>
      </c>
      <c r="Q75" s="1" t="s">
        <v>443</v>
      </c>
      <c r="R75" s="1" t="s">
        <v>435</v>
      </c>
    </row>
    <row r="76" spans="1:18" ht="15" customHeight="1" x14ac:dyDescent="0.35">
      <c r="A76" s="1">
        <v>35</v>
      </c>
      <c r="B76" s="1" t="s">
        <v>432</v>
      </c>
      <c r="C76" s="1" t="s">
        <v>248</v>
      </c>
      <c r="D76" s="1">
        <v>2022</v>
      </c>
      <c r="E76" s="1" t="s">
        <v>433</v>
      </c>
      <c r="F76" s="1" t="s">
        <v>45</v>
      </c>
      <c r="G76" s="1" t="s">
        <v>306</v>
      </c>
      <c r="H76" s="1" t="b">
        <f>TRUE()</f>
        <v>1</v>
      </c>
      <c r="I76" s="17">
        <v>48</v>
      </c>
      <c r="J76" s="1" t="s">
        <v>442</v>
      </c>
      <c r="K76" s="1" t="s">
        <v>308</v>
      </c>
      <c r="L76" s="1" t="s">
        <v>154</v>
      </c>
      <c r="M76"/>
      <c r="N76"/>
      <c r="O76" s="18">
        <v>0.23499999999999999</v>
      </c>
      <c r="P76" s="19">
        <v>23.5</v>
      </c>
      <c r="Q76" s="1" t="s">
        <v>443</v>
      </c>
      <c r="R76" s="1" t="s">
        <v>435</v>
      </c>
    </row>
    <row r="77" spans="1:18" ht="15" customHeight="1" x14ac:dyDescent="0.35">
      <c r="A77" s="1">
        <v>35</v>
      </c>
      <c r="B77" s="1" t="s">
        <v>432</v>
      </c>
      <c r="C77" s="1" t="s">
        <v>248</v>
      </c>
      <c r="D77" s="1">
        <v>2022</v>
      </c>
      <c r="E77" s="1" t="s">
        <v>433</v>
      </c>
      <c r="F77" s="1" t="s">
        <v>45</v>
      </c>
      <c r="G77" s="1" t="s">
        <v>306</v>
      </c>
      <c r="H77" s="1" t="b">
        <f>TRUE()</f>
        <v>1</v>
      </c>
      <c r="I77" s="17">
        <v>72</v>
      </c>
      <c r="J77" s="1" t="s">
        <v>442</v>
      </c>
      <c r="K77" s="1" t="s">
        <v>308</v>
      </c>
      <c r="L77" s="1" t="s">
        <v>154</v>
      </c>
      <c r="M77"/>
      <c r="N77"/>
      <c r="O77" s="18">
        <v>0.71599999999999997</v>
      </c>
      <c r="P77" s="19">
        <v>71.599999999999994</v>
      </c>
      <c r="Q77" s="1" t="s">
        <v>443</v>
      </c>
      <c r="R77" s="1" t="s">
        <v>435</v>
      </c>
    </row>
    <row r="78" spans="1:18" ht="15" customHeight="1" x14ac:dyDescent="0.35">
      <c r="A78" s="1">
        <v>35</v>
      </c>
      <c r="B78" s="1" t="s">
        <v>432</v>
      </c>
      <c r="C78" s="1" t="s">
        <v>248</v>
      </c>
      <c r="D78" s="1">
        <v>2022</v>
      </c>
      <c r="E78" s="1" t="s">
        <v>433</v>
      </c>
      <c r="F78" s="1" t="s">
        <v>45</v>
      </c>
      <c r="G78" s="1" t="s">
        <v>306</v>
      </c>
      <c r="H78" s="1" t="b">
        <f>TRUE()</f>
        <v>1</v>
      </c>
      <c r="I78" s="17">
        <v>96</v>
      </c>
      <c r="J78" s="1" t="s">
        <v>442</v>
      </c>
      <c r="K78" s="1" t="s">
        <v>308</v>
      </c>
      <c r="L78" s="1" t="s">
        <v>154</v>
      </c>
      <c r="M78"/>
      <c r="N78"/>
      <c r="O78" s="18">
        <v>34.020000000000003</v>
      </c>
      <c r="P78" s="19">
        <v>3402</v>
      </c>
      <c r="Q78" s="1" t="s">
        <v>443</v>
      </c>
      <c r="R78" s="1" t="s">
        <v>435</v>
      </c>
    </row>
    <row r="79" spans="1:18" ht="15" customHeight="1" x14ac:dyDescent="0.35">
      <c r="A79" s="1">
        <v>33</v>
      </c>
      <c r="B79" s="1" t="s">
        <v>444</v>
      </c>
      <c r="C79" s="1" t="s">
        <v>42</v>
      </c>
      <c r="D79" s="1">
        <v>2024</v>
      </c>
      <c r="E79" s="1" t="s">
        <v>445</v>
      </c>
      <c r="F79" s="1" t="s">
        <v>45</v>
      </c>
      <c r="G79" s="1" t="s">
        <v>288</v>
      </c>
      <c r="H79" s="1" t="b">
        <f>TRUE()</f>
        <v>1</v>
      </c>
      <c r="I79" s="17">
        <v>3</v>
      </c>
      <c r="J79" s="1" t="s">
        <v>419</v>
      </c>
      <c r="K79" s="1" t="s">
        <v>271</v>
      </c>
      <c r="L79" s="1" t="s">
        <v>29</v>
      </c>
      <c r="M79" s="18">
        <v>1</v>
      </c>
      <c r="N79" s="18">
        <v>0.65</v>
      </c>
      <c r="O79" s="18">
        <v>0.65</v>
      </c>
      <c r="P79" s="19">
        <v>65</v>
      </c>
      <c r="Q79" s="1" t="s">
        <v>420</v>
      </c>
      <c r="R79" s="1" t="s">
        <v>446</v>
      </c>
    </row>
    <row r="80" spans="1:18" ht="15" customHeight="1" x14ac:dyDescent="0.35">
      <c r="A80" s="1">
        <v>33</v>
      </c>
      <c r="B80" s="1" t="s">
        <v>444</v>
      </c>
      <c r="C80" s="1" t="s">
        <v>42</v>
      </c>
      <c r="D80" s="1">
        <v>2024</v>
      </c>
      <c r="E80" s="1" t="s">
        <v>445</v>
      </c>
      <c r="F80" s="1" t="s">
        <v>45</v>
      </c>
      <c r="G80" s="1" t="s">
        <v>288</v>
      </c>
      <c r="H80" s="1" t="b">
        <f>TRUE()</f>
        <v>1</v>
      </c>
      <c r="I80" s="17">
        <v>5</v>
      </c>
      <c r="J80" s="1" t="s">
        <v>419</v>
      </c>
      <c r="K80" s="1" t="s">
        <v>271</v>
      </c>
      <c r="L80" s="1" t="s">
        <v>29</v>
      </c>
      <c r="M80" s="18">
        <v>1</v>
      </c>
      <c r="N80" s="18">
        <v>0.57999999999999996</v>
      </c>
      <c r="O80" s="18">
        <v>0.57999999999999996</v>
      </c>
      <c r="P80" s="19">
        <v>58</v>
      </c>
      <c r="Q80" s="1" t="s">
        <v>420</v>
      </c>
      <c r="R80" s="1" t="s">
        <v>446</v>
      </c>
    </row>
    <row r="81" spans="1:18" ht="15" customHeight="1" x14ac:dyDescent="0.35">
      <c r="A81" s="1">
        <v>33</v>
      </c>
      <c r="B81" s="1" t="s">
        <v>444</v>
      </c>
      <c r="C81" s="1" t="s">
        <v>42</v>
      </c>
      <c r="D81" s="1">
        <v>2024</v>
      </c>
      <c r="E81" s="1" t="s">
        <v>445</v>
      </c>
      <c r="F81" s="1" t="s">
        <v>45</v>
      </c>
      <c r="G81" s="1" t="s">
        <v>288</v>
      </c>
      <c r="H81" s="1" t="b">
        <f>TRUE()</f>
        <v>1</v>
      </c>
      <c r="I81" s="17">
        <v>3</v>
      </c>
      <c r="J81" s="1" t="s">
        <v>447</v>
      </c>
      <c r="K81" s="1" t="s">
        <v>271</v>
      </c>
      <c r="L81" s="1" t="s">
        <v>121</v>
      </c>
      <c r="M81" s="17">
        <v>22000</v>
      </c>
      <c r="N81" s="17">
        <v>14000</v>
      </c>
      <c r="O81" s="18">
        <v>0.64</v>
      </c>
      <c r="P81" s="19">
        <v>64</v>
      </c>
      <c r="Q81" s="1" t="s">
        <v>448</v>
      </c>
      <c r="R81" s="1" t="s">
        <v>449</v>
      </c>
    </row>
    <row r="82" spans="1:18" ht="15" customHeight="1" x14ac:dyDescent="0.35">
      <c r="A82" s="1">
        <v>33</v>
      </c>
      <c r="B82" s="1" t="s">
        <v>444</v>
      </c>
      <c r="C82" s="1" t="s">
        <v>42</v>
      </c>
      <c r="D82" s="1">
        <v>2024</v>
      </c>
      <c r="E82" s="1" t="s">
        <v>445</v>
      </c>
      <c r="F82" s="1" t="s">
        <v>45</v>
      </c>
      <c r="G82" s="1" t="s">
        <v>288</v>
      </c>
      <c r="H82" s="1" t="b">
        <f>TRUE()</f>
        <v>1</v>
      </c>
      <c r="I82" s="17">
        <v>5</v>
      </c>
      <c r="J82" s="1" t="s">
        <v>447</v>
      </c>
      <c r="K82" s="1" t="s">
        <v>271</v>
      </c>
      <c r="L82" s="1" t="s">
        <v>121</v>
      </c>
      <c r="M82" s="17">
        <v>55000</v>
      </c>
      <c r="N82" s="17">
        <v>36000</v>
      </c>
      <c r="O82" s="18">
        <v>0.65</v>
      </c>
      <c r="P82" s="19">
        <v>65</v>
      </c>
      <c r="Q82" s="1" t="s">
        <v>448</v>
      </c>
      <c r="R82" s="1" t="s">
        <v>449</v>
      </c>
    </row>
    <row r="83" spans="1:18" ht="15" customHeight="1" x14ac:dyDescent="0.35">
      <c r="A83" s="1">
        <v>32</v>
      </c>
      <c r="B83" s="1" t="s">
        <v>450</v>
      </c>
      <c r="C83" s="1" t="s">
        <v>276</v>
      </c>
      <c r="D83" s="1">
        <v>2023</v>
      </c>
      <c r="E83" s="1" t="s">
        <v>451</v>
      </c>
      <c r="F83" s="1" t="s">
        <v>417</v>
      </c>
      <c r="G83" s="1" t="s">
        <v>280</v>
      </c>
      <c r="H83" s="1" t="b">
        <f>TRUE()</f>
        <v>1</v>
      </c>
      <c r="I83" s="17">
        <v>5</v>
      </c>
      <c r="J83" s="1" t="s">
        <v>442</v>
      </c>
      <c r="K83" s="1" t="s">
        <v>282</v>
      </c>
      <c r="L83" s="1" t="s">
        <v>452</v>
      </c>
      <c r="M83" s="1">
        <v>4.4999999999999998E-2</v>
      </c>
      <c r="N83" s="1">
        <v>0.09</v>
      </c>
      <c r="O83" s="18">
        <v>2</v>
      </c>
      <c r="P83" s="19">
        <v>200</v>
      </c>
      <c r="Q83" s="1" t="s">
        <v>453</v>
      </c>
      <c r="R83" s="1" t="s">
        <v>454</v>
      </c>
    </row>
    <row r="84" spans="1:18" ht="15" customHeight="1" x14ac:dyDescent="0.35">
      <c r="A84" s="1">
        <v>32</v>
      </c>
      <c r="B84" s="1" t="s">
        <v>450</v>
      </c>
      <c r="C84" s="1" t="s">
        <v>276</v>
      </c>
      <c r="D84" s="1">
        <v>2023</v>
      </c>
      <c r="E84" s="1" t="s">
        <v>451</v>
      </c>
      <c r="F84" s="1" t="s">
        <v>417</v>
      </c>
      <c r="G84" s="1" t="s">
        <v>280</v>
      </c>
      <c r="H84" s="1" t="b">
        <f>TRUE()</f>
        <v>1</v>
      </c>
      <c r="I84" s="17">
        <v>10</v>
      </c>
      <c r="J84" s="1" t="s">
        <v>442</v>
      </c>
      <c r="K84" s="1" t="s">
        <v>282</v>
      </c>
      <c r="L84" s="1" t="s">
        <v>452</v>
      </c>
      <c r="M84" s="1">
        <v>0.11</v>
      </c>
      <c r="N84" s="1">
        <v>2.8000000000000001E-2</v>
      </c>
      <c r="O84" s="18">
        <v>0.25</v>
      </c>
      <c r="P84" s="19">
        <v>25</v>
      </c>
      <c r="Q84" s="1" t="s">
        <v>453</v>
      </c>
      <c r="R84" s="1" t="s">
        <v>455</v>
      </c>
    </row>
    <row r="85" spans="1:18" ht="15" customHeight="1" x14ac:dyDescent="0.35">
      <c r="A85" s="1">
        <v>32</v>
      </c>
      <c r="B85" s="1" t="s">
        <v>450</v>
      </c>
      <c r="C85" s="1" t="s">
        <v>276</v>
      </c>
      <c r="D85" s="1">
        <v>2023</v>
      </c>
      <c r="E85" s="1" t="s">
        <v>451</v>
      </c>
      <c r="F85" s="1" t="s">
        <v>417</v>
      </c>
      <c r="G85" s="1" t="s">
        <v>280</v>
      </c>
      <c r="H85" s="1" t="b">
        <f>TRUE()</f>
        <v>1</v>
      </c>
      <c r="I85" s="17">
        <v>14</v>
      </c>
      <c r="J85" s="1" t="s">
        <v>442</v>
      </c>
      <c r="K85" s="1" t="s">
        <v>282</v>
      </c>
      <c r="L85" s="1" t="s">
        <v>452</v>
      </c>
      <c r="M85" s="1">
        <v>5.8</v>
      </c>
      <c r="N85" s="1">
        <v>0.26</v>
      </c>
      <c r="O85" s="18">
        <v>4.4999999999999998E-2</v>
      </c>
      <c r="P85" s="19">
        <v>4.5</v>
      </c>
      <c r="Q85" s="1" t="s">
        <v>453</v>
      </c>
      <c r="R85" s="1" t="s">
        <v>456</v>
      </c>
    </row>
    <row r="86" spans="1:18" ht="15" customHeight="1" x14ac:dyDescent="0.35">
      <c r="A86" s="1">
        <v>32</v>
      </c>
      <c r="B86" s="1" t="s">
        <v>450</v>
      </c>
      <c r="C86" s="1" t="s">
        <v>276</v>
      </c>
      <c r="D86" s="1">
        <v>2023</v>
      </c>
      <c r="E86" s="1" t="s">
        <v>451</v>
      </c>
      <c r="F86" s="1" t="s">
        <v>417</v>
      </c>
      <c r="G86" s="1" t="s">
        <v>280</v>
      </c>
      <c r="H86" s="1" t="b">
        <f>TRUE()</f>
        <v>1</v>
      </c>
      <c r="I86" s="17">
        <v>5</v>
      </c>
      <c r="J86" s="1" t="s">
        <v>428</v>
      </c>
      <c r="K86" s="1" t="s">
        <v>282</v>
      </c>
      <c r="L86" s="1" t="s">
        <v>452</v>
      </c>
      <c r="M86" s="17">
        <v>450</v>
      </c>
      <c r="N86" s="17">
        <v>900</v>
      </c>
      <c r="O86" s="18">
        <v>2</v>
      </c>
      <c r="P86" s="19">
        <v>200</v>
      </c>
      <c r="Q86" s="1" t="s">
        <v>457</v>
      </c>
      <c r="R86" s="1" t="s">
        <v>454</v>
      </c>
    </row>
    <row r="87" spans="1:18" ht="15" customHeight="1" x14ac:dyDescent="0.35">
      <c r="A87" s="1">
        <v>32</v>
      </c>
      <c r="B87" s="1" t="s">
        <v>450</v>
      </c>
      <c r="C87" s="1" t="s">
        <v>276</v>
      </c>
      <c r="D87" s="1">
        <v>2023</v>
      </c>
      <c r="E87" s="1" t="s">
        <v>451</v>
      </c>
      <c r="F87" s="1" t="s">
        <v>417</v>
      </c>
      <c r="G87" s="1" t="s">
        <v>280</v>
      </c>
      <c r="H87" s="1" t="b">
        <f>TRUE()</f>
        <v>1</v>
      </c>
      <c r="I87" s="17">
        <v>10</v>
      </c>
      <c r="J87" s="1" t="s">
        <v>428</v>
      </c>
      <c r="K87" s="1" t="s">
        <v>282</v>
      </c>
      <c r="L87" s="1" t="s">
        <v>452</v>
      </c>
      <c r="M87" s="17">
        <v>1100</v>
      </c>
      <c r="N87" s="17">
        <v>280</v>
      </c>
      <c r="O87" s="18">
        <v>0.25</v>
      </c>
      <c r="P87" s="19">
        <v>25</v>
      </c>
      <c r="Q87" s="1" t="s">
        <v>457</v>
      </c>
      <c r="R87" s="1" t="s">
        <v>455</v>
      </c>
    </row>
    <row r="88" spans="1:18" ht="15" customHeight="1" x14ac:dyDescent="0.35">
      <c r="A88" s="1">
        <v>32</v>
      </c>
      <c r="B88" s="1" t="s">
        <v>450</v>
      </c>
      <c r="C88" s="1" t="s">
        <v>276</v>
      </c>
      <c r="D88" s="1">
        <v>2023</v>
      </c>
      <c r="E88" s="1" t="s">
        <v>451</v>
      </c>
      <c r="F88" s="1" t="s">
        <v>417</v>
      </c>
      <c r="G88" s="1" t="s">
        <v>280</v>
      </c>
      <c r="H88" s="1" t="b">
        <f>TRUE()</f>
        <v>1</v>
      </c>
      <c r="I88" s="17">
        <v>14</v>
      </c>
      <c r="J88" s="1" t="s">
        <v>428</v>
      </c>
      <c r="K88" s="1" t="s">
        <v>282</v>
      </c>
      <c r="L88" s="1" t="s">
        <v>452</v>
      </c>
      <c r="M88" s="17">
        <v>58000</v>
      </c>
      <c r="N88" s="17">
        <v>2600</v>
      </c>
      <c r="O88" s="18">
        <v>4.4999999999999998E-2</v>
      </c>
      <c r="P88" s="19">
        <v>4.5</v>
      </c>
      <c r="Q88" s="1" t="s">
        <v>457</v>
      </c>
      <c r="R88" s="1" t="s">
        <v>456</v>
      </c>
    </row>
    <row r="89" spans="1:18" ht="15" customHeight="1" x14ac:dyDescent="0.35">
      <c r="A89" s="1">
        <v>31</v>
      </c>
      <c r="B89" s="1" t="s">
        <v>458</v>
      </c>
      <c r="C89" s="1" t="s">
        <v>266</v>
      </c>
      <c r="D89" s="1">
        <v>2025</v>
      </c>
      <c r="E89" s="1" t="s">
        <v>459</v>
      </c>
      <c r="F89" s="1" t="s">
        <v>45</v>
      </c>
      <c r="G89" s="1" t="s">
        <v>460</v>
      </c>
      <c r="H89" s="1" t="b">
        <f>TRUE()</f>
        <v>1</v>
      </c>
      <c r="I89" s="17">
        <v>1</v>
      </c>
      <c r="J89" s="1" t="s">
        <v>419</v>
      </c>
      <c r="K89" s="1" t="s">
        <v>271</v>
      </c>
      <c r="L89" s="1" t="s">
        <v>29</v>
      </c>
      <c r="M89" s="18">
        <v>1</v>
      </c>
      <c r="N89" s="18">
        <v>0.37</v>
      </c>
      <c r="O89" s="18">
        <f t="shared" ref="O89:O152" si="0">N89/M89</f>
        <v>0.37</v>
      </c>
      <c r="P89" s="19">
        <f t="shared" ref="P89:P152" si="1">O89*100</f>
        <v>37</v>
      </c>
      <c r="Q89" s="1" t="s">
        <v>420</v>
      </c>
      <c r="R89" s="1" t="s">
        <v>461</v>
      </c>
    </row>
    <row r="90" spans="1:18" ht="15" customHeight="1" x14ac:dyDescent="0.35">
      <c r="A90" s="1">
        <v>31</v>
      </c>
      <c r="B90" s="1" t="s">
        <v>458</v>
      </c>
      <c r="C90" s="1" t="s">
        <v>266</v>
      </c>
      <c r="D90" s="1">
        <v>2025</v>
      </c>
      <c r="E90" s="1" t="s">
        <v>459</v>
      </c>
      <c r="F90" s="1" t="s">
        <v>45</v>
      </c>
      <c r="G90" s="1" t="s">
        <v>460</v>
      </c>
      <c r="H90" s="1" t="b">
        <f>TRUE()</f>
        <v>1</v>
      </c>
      <c r="I90" s="17">
        <v>3</v>
      </c>
      <c r="J90" s="1" t="s">
        <v>419</v>
      </c>
      <c r="K90" s="1" t="s">
        <v>271</v>
      </c>
      <c r="L90" s="1" t="s">
        <v>29</v>
      </c>
      <c r="M90" s="18">
        <v>1</v>
      </c>
      <c r="N90" s="18">
        <v>0.53</v>
      </c>
      <c r="O90" s="18">
        <f t="shared" si="0"/>
        <v>0.53</v>
      </c>
      <c r="P90" s="19">
        <f t="shared" si="1"/>
        <v>53</v>
      </c>
      <c r="Q90" s="1" t="s">
        <v>420</v>
      </c>
      <c r="R90" s="1" t="s">
        <v>461</v>
      </c>
    </row>
    <row r="91" spans="1:18" ht="15" customHeight="1" x14ac:dyDescent="0.35">
      <c r="A91" s="1">
        <v>31</v>
      </c>
      <c r="B91" s="1" t="s">
        <v>458</v>
      </c>
      <c r="C91" s="1" t="s">
        <v>266</v>
      </c>
      <c r="D91" s="1">
        <v>2025</v>
      </c>
      <c r="E91" s="1" t="s">
        <v>459</v>
      </c>
      <c r="F91" s="1" t="s">
        <v>45</v>
      </c>
      <c r="G91" s="1" t="s">
        <v>460</v>
      </c>
      <c r="H91" s="1" t="b">
        <f>TRUE()</f>
        <v>1</v>
      </c>
      <c r="I91" s="17">
        <v>5</v>
      </c>
      <c r="J91" s="1" t="s">
        <v>419</v>
      </c>
      <c r="K91" s="1" t="s">
        <v>271</v>
      </c>
      <c r="L91" s="1" t="s">
        <v>29</v>
      </c>
      <c r="M91" s="18">
        <v>1</v>
      </c>
      <c r="N91" s="18">
        <v>0.67</v>
      </c>
      <c r="O91" s="18">
        <f t="shared" si="0"/>
        <v>0.67</v>
      </c>
      <c r="P91" s="19">
        <f t="shared" si="1"/>
        <v>67</v>
      </c>
      <c r="Q91" s="1" t="s">
        <v>420</v>
      </c>
      <c r="R91" s="1" t="s">
        <v>461</v>
      </c>
    </row>
    <row r="92" spans="1:18" ht="15" customHeight="1" x14ac:dyDescent="0.35">
      <c r="A92" s="1">
        <v>31</v>
      </c>
      <c r="B92" s="1" t="s">
        <v>458</v>
      </c>
      <c r="C92" s="1" t="s">
        <v>266</v>
      </c>
      <c r="D92" s="1">
        <v>2025</v>
      </c>
      <c r="E92" s="1" t="s">
        <v>459</v>
      </c>
      <c r="F92" s="1" t="s">
        <v>45</v>
      </c>
      <c r="G92" s="1" t="s">
        <v>460</v>
      </c>
      <c r="H92" s="1" t="b">
        <f>TRUE()</f>
        <v>1</v>
      </c>
      <c r="I92" s="17">
        <v>1</v>
      </c>
      <c r="J92" s="1" t="s">
        <v>447</v>
      </c>
      <c r="K92" s="1" t="s">
        <v>271</v>
      </c>
      <c r="L92" s="1" t="s">
        <v>121</v>
      </c>
      <c r="M92" s="17">
        <v>10000000</v>
      </c>
      <c r="N92" s="17">
        <v>11000000</v>
      </c>
      <c r="O92" s="18">
        <f t="shared" si="0"/>
        <v>1.1000000000000001</v>
      </c>
      <c r="P92" s="19">
        <f t="shared" si="1"/>
        <v>110.00000000000001</v>
      </c>
      <c r="Q92" s="1" t="s">
        <v>448</v>
      </c>
      <c r="R92" s="1" t="s">
        <v>695</v>
      </c>
    </row>
    <row r="93" spans="1:18" ht="15" customHeight="1" x14ac:dyDescent="0.35">
      <c r="A93" s="1">
        <v>31</v>
      </c>
      <c r="B93" s="1" t="s">
        <v>458</v>
      </c>
      <c r="C93" s="1" t="s">
        <v>266</v>
      </c>
      <c r="D93" s="1">
        <v>2025</v>
      </c>
      <c r="E93" s="1" t="s">
        <v>459</v>
      </c>
      <c r="F93" s="1" t="s">
        <v>45</v>
      </c>
      <c r="G93" s="1" t="s">
        <v>460</v>
      </c>
      <c r="H93" s="1" t="b">
        <f>TRUE()</f>
        <v>1</v>
      </c>
      <c r="I93" s="17">
        <v>3</v>
      </c>
      <c r="J93" s="1" t="s">
        <v>447</v>
      </c>
      <c r="K93" s="1" t="s">
        <v>271</v>
      </c>
      <c r="L93" s="1" t="s">
        <v>121</v>
      </c>
      <c r="M93" s="17">
        <v>78000000</v>
      </c>
      <c r="N93" s="17">
        <v>100000000</v>
      </c>
      <c r="O93" s="18">
        <f t="shared" si="0"/>
        <v>1.2820512820512822</v>
      </c>
      <c r="P93" s="19">
        <f t="shared" si="1"/>
        <v>128.2051282051282</v>
      </c>
      <c r="Q93" s="1" t="s">
        <v>448</v>
      </c>
      <c r="R93" s="1" t="s">
        <v>695</v>
      </c>
    </row>
    <row r="94" spans="1:18" ht="15" customHeight="1" x14ac:dyDescent="0.35">
      <c r="A94" s="1">
        <v>31</v>
      </c>
      <c r="B94" s="1" t="s">
        <v>458</v>
      </c>
      <c r="C94" s="1" t="s">
        <v>266</v>
      </c>
      <c r="D94" s="1">
        <v>2025</v>
      </c>
      <c r="E94" s="1" t="s">
        <v>459</v>
      </c>
      <c r="F94" s="1" t="s">
        <v>45</v>
      </c>
      <c r="G94" s="1" t="s">
        <v>460</v>
      </c>
      <c r="H94" s="1" t="b">
        <f>TRUE()</f>
        <v>1</v>
      </c>
      <c r="I94" s="17">
        <v>5</v>
      </c>
      <c r="J94" s="1" t="s">
        <v>447</v>
      </c>
      <c r="K94" s="1" t="s">
        <v>271</v>
      </c>
      <c r="L94" s="1" t="s">
        <v>121</v>
      </c>
      <c r="M94" s="17">
        <v>115000000</v>
      </c>
      <c r="N94" s="17">
        <v>65000000</v>
      </c>
      <c r="O94" s="18">
        <f t="shared" si="0"/>
        <v>0.56521739130434778</v>
      </c>
      <c r="P94" s="19">
        <f t="shared" si="1"/>
        <v>56.521739130434781</v>
      </c>
      <c r="Q94" s="1" t="s">
        <v>448</v>
      </c>
      <c r="R94" s="1" t="s">
        <v>695</v>
      </c>
    </row>
    <row r="95" spans="1:18" ht="15" customHeight="1" x14ac:dyDescent="0.35">
      <c r="A95" s="1">
        <v>36</v>
      </c>
      <c r="B95" s="1" t="s">
        <v>462</v>
      </c>
      <c r="C95" s="1" t="s">
        <v>312</v>
      </c>
      <c r="D95" s="1">
        <v>2019</v>
      </c>
      <c r="E95" s="1" t="s">
        <v>463</v>
      </c>
      <c r="F95" s="1" t="s">
        <v>45</v>
      </c>
      <c r="G95" s="1" t="s">
        <v>316</v>
      </c>
      <c r="H95" s="1" t="b">
        <f>TRUE()</f>
        <v>1</v>
      </c>
      <c r="I95" s="17">
        <v>3</v>
      </c>
      <c r="J95" s="1" t="s">
        <v>419</v>
      </c>
      <c r="K95" s="1" t="s">
        <v>318</v>
      </c>
      <c r="L95" s="1" t="s">
        <v>29</v>
      </c>
      <c r="M95" s="18">
        <v>1</v>
      </c>
      <c r="N95" s="18">
        <v>0.68</v>
      </c>
      <c r="O95" s="18">
        <f t="shared" si="0"/>
        <v>0.68</v>
      </c>
      <c r="P95" s="19">
        <f t="shared" si="1"/>
        <v>68</v>
      </c>
      <c r="Q95" s="1" t="s">
        <v>420</v>
      </c>
      <c r="R95" s="1" t="s">
        <v>464</v>
      </c>
    </row>
    <row r="96" spans="1:18" ht="15" customHeight="1" x14ac:dyDescent="0.35">
      <c r="A96" s="1">
        <v>36</v>
      </c>
      <c r="B96" s="1" t="s">
        <v>462</v>
      </c>
      <c r="C96" s="1" t="s">
        <v>312</v>
      </c>
      <c r="D96" s="1">
        <v>2019</v>
      </c>
      <c r="E96" s="1" t="s">
        <v>463</v>
      </c>
      <c r="F96" s="1" t="s">
        <v>45</v>
      </c>
      <c r="G96" s="1" t="s">
        <v>316</v>
      </c>
      <c r="H96" s="1" t="b">
        <f>TRUE()</f>
        <v>1</v>
      </c>
      <c r="I96" s="17">
        <v>4</v>
      </c>
      <c r="J96" s="1" t="s">
        <v>419</v>
      </c>
      <c r="K96" s="1" t="s">
        <v>318</v>
      </c>
      <c r="L96" s="1" t="s">
        <v>29</v>
      </c>
      <c r="M96" s="18">
        <v>0.98</v>
      </c>
      <c r="N96" s="18">
        <v>0.32</v>
      </c>
      <c r="O96" s="18">
        <f t="shared" si="0"/>
        <v>0.32653061224489799</v>
      </c>
      <c r="P96" s="19">
        <f t="shared" si="1"/>
        <v>32.653061224489797</v>
      </c>
      <c r="Q96" s="1" t="s">
        <v>420</v>
      </c>
      <c r="R96" s="1" t="s">
        <v>464</v>
      </c>
    </row>
    <row r="97" spans="1:18" ht="15" customHeight="1" x14ac:dyDescent="0.35">
      <c r="A97" s="1">
        <v>36</v>
      </c>
      <c r="B97" s="1" t="s">
        <v>462</v>
      </c>
      <c r="C97" s="1" t="s">
        <v>312</v>
      </c>
      <c r="D97" s="1">
        <v>2019</v>
      </c>
      <c r="E97" s="1" t="s">
        <v>463</v>
      </c>
      <c r="F97" s="1" t="s">
        <v>45</v>
      </c>
      <c r="G97" s="1" t="s">
        <v>316</v>
      </c>
      <c r="H97" s="1" t="b">
        <f>TRUE()</f>
        <v>1</v>
      </c>
      <c r="I97" s="17">
        <v>5</v>
      </c>
      <c r="J97" s="1" t="s">
        <v>419</v>
      </c>
      <c r="K97" s="1" t="s">
        <v>318</v>
      </c>
      <c r="L97" s="1" t="s">
        <v>29</v>
      </c>
      <c r="M97" s="18">
        <v>1</v>
      </c>
      <c r="N97" s="18">
        <v>0.76</v>
      </c>
      <c r="O97" s="18">
        <f t="shared" si="0"/>
        <v>0.76</v>
      </c>
      <c r="P97" s="19">
        <f t="shared" si="1"/>
        <v>76</v>
      </c>
      <c r="Q97" s="1" t="s">
        <v>420</v>
      </c>
      <c r="R97" s="1" t="s">
        <v>464</v>
      </c>
    </row>
    <row r="98" spans="1:18" ht="15" customHeight="1" x14ac:dyDescent="0.35">
      <c r="A98" s="1">
        <v>36</v>
      </c>
      <c r="B98" s="1" t="s">
        <v>462</v>
      </c>
      <c r="C98" s="1" t="s">
        <v>312</v>
      </c>
      <c r="D98" s="1">
        <v>2019</v>
      </c>
      <c r="E98" s="1" t="s">
        <v>463</v>
      </c>
      <c r="F98" s="1" t="s">
        <v>45</v>
      </c>
      <c r="G98" s="1" t="s">
        <v>316</v>
      </c>
      <c r="H98" s="1" t="b">
        <f>TRUE()</f>
        <v>1</v>
      </c>
      <c r="I98" s="17">
        <v>6</v>
      </c>
      <c r="J98" s="1" t="s">
        <v>419</v>
      </c>
      <c r="K98" s="1" t="s">
        <v>318</v>
      </c>
      <c r="L98" s="1" t="s">
        <v>29</v>
      </c>
      <c r="M98" s="18">
        <v>0.98</v>
      </c>
      <c r="N98" s="18">
        <v>0.47</v>
      </c>
      <c r="O98" s="18">
        <f t="shared" si="0"/>
        <v>0.47959183673469385</v>
      </c>
      <c r="P98" s="19">
        <f t="shared" si="1"/>
        <v>47.959183673469383</v>
      </c>
      <c r="Q98" s="1" t="s">
        <v>420</v>
      </c>
      <c r="R98" s="1" t="s">
        <v>464</v>
      </c>
    </row>
    <row r="99" spans="1:18" ht="15" customHeight="1" x14ac:dyDescent="0.35">
      <c r="A99" s="1">
        <v>36</v>
      </c>
      <c r="B99" s="1" t="s">
        <v>462</v>
      </c>
      <c r="C99" s="1" t="s">
        <v>312</v>
      </c>
      <c r="D99" s="1">
        <v>2019</v>
      </c>
      <c r="E99" s="1" t="s">
        <v>463</v>
      </c>
      <c r="F99" s="1" t="s">
        <v>45</v>
      </c>
      <c r="G99" s="1" t="s">
        <v>316</v>
      </c>
      <c r="H99" s="1" t="b">
        <f>TRUE()</f>
        <v>1</v>
      </c>
      <c r="I99" s="17">
        <v>3</v>
      </c>
      <c r="J99" s="1" t="s">
        <v>447</v>
      </c>
      <c r="K99" s="1" t="s">
        <v>318</v>
      </c>
      <c r="L99" s="1" t="s">
        <v>121</v>
      </c>
      <c r="M99" s="17">
        <v>5000</v>
      </c>
      <c r="N99" s="17">
        <v>5000</v>
      </c>
      <c r="O99" s="18">
        <f t="shared" si="0"/>
        <v>1</v>
      </c>
      <c r="P99" s="19">
        <f t="shared" si="1"/>
        <v>100</v>
      </c>
      <c r="Q99" s="1" t="s">
        <v>448</v>
      </c>
      <c r="R99" s="1" t="s">
        <v>696</v>
      </c>
    </row>
    <row r="100" spans="1:18" ht="15" customHeight="1" x14ac:dyDescent="0.35">
      <c r="A100" s="1">
        <v>36</v>
      </c>
      <c r="B100" s="1" t="s">
        <v>462</v>
      </c>
      <c r="C100" s="1" t="s">
        <v>312</v>
      </c>
      <c r="D100" s="1">
        <v>2019</v>
      </c>
      <c r="E100" s="1" t="s">
        <v>463</v>
      </c>
      <c r="F100" s="1" t="s">
        <v>45</v>
      </c>
      <c r="G100" s="1" t="s">
        <v>316</v>
      </c>
      <c r="H100" s="1" t="b">
        <f>TRUE()</f>
        <v>1</v>
      </c>
      <c r="I100" s="17">
        <v>4</v>
      </c>
      <c r="J100" s="1" t="s">
        <v>447</v>
      </c>
      <c r="K100" s="1" t="s">
        <v>318</v>
      </c>
      <c r="L100" s="1" t="s">
        <v>121</v>
      </c>
      <c r="M100" s="17">
        <v>5600</v>
      </c>
      <c r="N100" s="17">
        <v>5400</v>
      </c>
      <c r="O100" s="18">
        <f t="shared" si="0"/>
        <v>0.9642857142857143</v>
      </c>
      <c r="P100" s="19">
        <f t="shared" si="1"/>
        <v>96.428571428571431</v>
      </c>
      <c r="Q100" s="1" t="s">
        <v>448</v>
      </c>
      <c r="R100" s="1" t="s">
        <v>696</v>
      </c>
    </row>
    <row r="101" spans="1:18" ht="15" customHeight="1" x14ac:dyDescent="0.35">
      <c r="A101" s="1">
        <v>36</v>
      </c>
      <c r="B101" s="1" t="s">
        <v>462</v>
      </c>
      <c r="C101" s="1" t="s">
        <v>312</v>
      </c>
      <c r="D101" s="1">
        <v>2019</v>
      </c>
      <c r="E101" s="1" t="s">
        <v>463</v>
      </c>
      <c r="F101" s="1" t="s">
        <v>45</v>
      </c>
      <c r="G101" s="1" t="s">
        <v>316</v>
      </c>
      <c r="H101" s="1" t="b">
        <f>TRUE()</f>
        <v>1</v>
      </c>
      <c r="I101" s="17">
        <v>5</v>
      </c>
      <c r="J101" s="1" t="s">
        <v>447</v>
      </c>
      <c r="K101" s="1" t="s">
        <v>318</v>
      </c>
      <c r="L101" s="1" t="s">
        <v>121</v>
      </c>
      <c r="M101" s="17">
        <v>14700</v>
      </c>
      <c r="N101" s="17">
        <v>5400</v>
      </c>
      <c r="O101" s="18">
        <f t="shared" si="0"/>
        <v>0.36734693877551022</v>
      </c>
      <c r="P101" s="19">
        <f t="shared" si="1"/>
        <v>36.734693877551024</v>
      </c>
      <c r="Q101" s="1" t="s">
        <v>448</v>
      </c>
      <c r="R101" s="1" t="s">
        <v>696</v>
      </c>
    </row>
    <row r="102" spans="1:18" ht="15" customHeight="1" x14ac:dyDescent="0.35">
      <c r="A102" s="1">
        <v>36</v>
      </c>
      <c r="B102" s="1" t="s">
        <v>462</v>
      </c>
      <c r="C102" s="1" t="s">
        <v>312</v>
      </c>
      <c r="D102" s="1">
        <v>2019</v>
      </c>
      <c r="E102" s="1" t="s">
        <v>463</v>
      </c>
      <c r="F102" s="1" t="s">
        <v>45</v>
      </c>
      <c r="G102" s="1" t="s">
        <v>316</v>
      </c>
      <c r="H102" s="1" t="b">
        <f>TRUE()</f>
        <v>1</v>
      </c>
      <c r="I102" s="17">
        <v>6</v>
      </c>
      <c r="J102" s="1" t="s">
        <v>447</v>
      </c>
      <c r="K102" s="1" t="s">
        <v>318</v>
      </c>
      <c r="L102" s="1" t="s">
        <v>121</v>
      </c>
      <c r="M102" s="17">
        <v>10500</v>
      </c>
      <c r="N102" s="17">
        <v>5600</v>
      </c>
      <c r="O102" s="18">
        <f t="shared" si="0"/>
        <v>0.53333333333333333</v>
      </c>
      <c r="P102" s="19">
        <f t="shared" si="1"/>
        <v>53.333333333333336</v>
      </c>
      <c r="Q102" s="1" t="s">
        <v>448</v>
      </c>
      <c r="R102" s="1" t="s">
        <v>696</v>
      </c>
    </row>
    <row r="103" spans="1:18" ht="15" customHeight="1" x14ac:dyDescent="0.35">
      <c r="A103" s="1">
        <v>30</v>
      </c>
      <c r="B103" s="1" t="s">
        <v>465</v>
      </c>
      <c r="C103" s="1" t="s">
        <v>233</v>
      </c>
      <c r="D103" s="1">
        <v>2023</v>
      </c>
      <c r="E103" s="1" t="s">
        <v>466</v>
      </c>
      <c r="F103" s="1" t="s">
        <v>45</v>
      </c>
      <c r="G103" s="1" t="s">
        <v>259</v>
      </c>
      <c r="H103" s="1" t="b">
        <f>TRUE()</f>
        <v>1</v>
      </c>
      <c r="I103" s="17">
        <v>24</v>
      </c>
      <c r="J103" s="1" t="s">
        <v>419</v>
      </c>
      <c r="K103" s="1" t="s">
        <v>261</v>
      </c>
      <c r="L103" s="1" t="s">
        <v>29</v>
      </c>
      <c r="M103" s="18">
        <v>1</v>
      </c>
      <c r="N103" s="18">
        <v>0.09</v>
      </c>
      <c r="O103" s="18">
        <f t="shared" si="0"/>
        <v>0.09</v>
      </c>
      <c r="P103" s="19">
        <f t="shared" si="1"/>
        <v>9</v>
      </c>
      <c r="Q103" s="1" t="s">
        <v>420</v>
      </c>
      <c r="R103" s="1" t="s">
        <v>467</v>
      </c>
    </row>
    <row r="104" spans="1:18" ht="15" customHeight="1" x14ac:dyDescent="0.35">
      <c r="A104" s="1">
        <v>30</v>
      </c>
      <c r="B104" s="1" t="s">
        <v>465</v>
      </c>
      <c r="C104" s="1" t="s">
        <v>233</v>
      </c>
      <c r="D104" s="1">
        <v>2023</v>
      </c>
      <c r="E104" s="1" t="s">
        <v>466</v>
      </c>
      <c r="F104" s="1" t="s">
        <v>45</v>
      </c>
      <c r="G104" s="1" t="s">
        <v>259</v>
      </c>
      <c r="H104" s="1" t="b">
        <f>TRUE()</f>
        <v>1</v>
      </c>
      <c r="I104" s="17">
        <v>48</v>
      </c>
      <c r="J104" s="1" t="s">
        <v>419</v>
      </c>
      <c r="K104" s="1" t="s">
        <v>261</v>
      </c>
      <c r="L104" s="1" t="s">
        <v>29</v>
      </c>
      <c r="M104" s="18">
        <v>1</v>
      </c>
      <c r="N104" s="18">
        <v>0.19</v>
      </c>
      <c r="O104" s="18">
        <f t="shared" si="0"/>
        <v>0.19</v>
      </c>
      <c r="P104" s="19">
        <f t="shared" si="1"/>
        <v>19</v>
      </c>
      <c r="Q104" s="1" t="s">
        <v>420</v>
      </c>
      <c r="R104" s="1" t="s">
        <v>467</v>
      </c>
    </row>
    <row r="105" spans="1:18" ht="15" customHeight="1" x14ac:dyDescent="0.35">
      <c r="A105" s="1">
        <v>30</v>
      </c>
      <c r="B105" s="1" t="s">
        <v>465</v>
      </c>
      <c r="C105" s="1" t="s">
        <v>233</v>
      </c>
      <c r="D105" s="1">
        <v>2023</v>
      </c>
      <c r="E105" s="1" t="s">
        <v>466</v>
      </c>
      <c r="F105" s="1" t="s">
        <v>45</v>
      </c>
      <c r="G105" s="1" t="s">
        <v>259</v>
      </c>
      <c r="H105" s="1" t="b">
        <f>TRUE()</f>
        <v>1</v>
      </c>
      <c r="I105" s="17">
        <v>72</v>
      </c>
      <c r="J105" s="1" t="s">
        <v>419</v>
      </c>
      <c r="K105" s="1" t="s">
        <v>261</v>
      </c>
      <c r="L105" s="1" t="s">
        <v>29</v>
      </c>
      <c r="M105" s="18">
        <v>0.99</v>
      </c>
      <c r="N105" s="18">
        <v>0.32</v>
      </c>
      <c r="O105" s="18">
        <f t="shared" si="0"/>
        <v>0.32323232323232326</v>
      </c>
      <c r="P105" s="19">
        <f t="shared" si="1"/>
        <v>32.323232323232325</v>
      </c>
      <c r="Q105" s="1" t="s">
        <v>420</v>
      </c>
      <c r="R105" s="1" t="s">
        <v>467</v>
      </c>
    </row>
    <row r="106" spans="1:18" ht="15" customHeight="1" x14ac:dyDescent="0.35">
      <c r="A106" s="1">
        <v>30</v>
      </c>
      <c r="B106" s="1" t="s">
        <v>465</v>
      </c>
      <c r="C106" s="1" t="s">
        <v>233</v>
      </c>
      <c r="D106" s="1">
        <v>2023</v>
      </c>
      <c r="E106" s="1" t="s">
        <v>466</v>
      </c>
      <c r="F106" s="1" t="s">
        <v>45</v>
      </c>
      <c r="G106" s="1" t="s">
        <v>259</v>
      </c>
      <c r="H106" s="1" t="b">
        <f>TRUE()</f>
        <v>1</v>
      </c>
      <c r="I106" s="17">
        <v>96</v>
      </c>
      <c r="J106" s="1" t="s">
        <v>419</v>
      </c>
      <c r="K106" s="1" t="s">
        <v>261</v>
      </c>
      <c r="L106" s="1" t="s">
        <v>29</v>
      </c>
      <c r="M106" s="18">
        <v>0.99</v>
      </c>
      <c r="N106" s="18">
        <v>0.52</v>
      </c>
      <c r="O106" s="18">
        <f t="shared" si="0"/>
        <v>0.5252525252525253</v>
      </c>
      <c r="P106" s="19">
        <f t="shared" si="1"/>
        <v>52.525252525252533</v>
      </c>
      <c r="Q106" s="1" t="s">
        <v>420</v>
      </c>
      <c r="R106" s="1" t="s">
        <v>467</v>
      </c>
    </row>
    <row r="107" spans="1:18" ht="15" customHeight="1" x14ac:dyDescent="0.35">
      <c r="A107" s="1">
        <v>30</v>
      </c>
      <c r="B107" s="1" t="s">
        <v>465</v>
      </c>
      <c r="C107" s="1" t="s">
        <v>233</v>
      </c>
      <c r="D107" s="1">
        <v>2023</v>
      </c>
      <c r="E107" s="1" t="s">
        <v>466</v>
      </c>
      <c r="F107" s="1" t="s">
        <v>45</v>
      </c>
      <c r="G107" s="1" t="s">
        <v>468</v>
      </c>
      <c r="H107" s="1" t="b">
        <f>FALSE()</f>
        <v>0</v>
      </c>
      <c r="I107" s="17">
        <v>24</v>
      </c>
      <c r="J107" s="1" t="s">
        <v>419</v>
      </c>
      <c r="K107" s="1" t="s">
        <v>261</v>
      </c>
      <c r="L107" s="1" t="s">
        <v>29</v>
      </c>
      <c r="M107" s="18">
        <v>1</v>
      </c>
      <c r="N107" s="18">
        <v>0.36</v>
      </c>
      <c r="O107" s="18">
        <f t="shared" si="0"/>
        <v>0.36</v>
      </c>
      <c r="P107" s="19">
        <f t="shared" si="1"/>
        <v>36</v>
      </c>
      <c r="Q107" s="1" t="s">
        <v>420</v>
      </c>
      <c r="R107" s="1" t="s">
        <v>469</v>
      </c>
    </row>
    <row r="108" spans="1:18" ht="15" customHeight="1" x14ac:dyDescent="0.35">
      <c r="A108" s="1">
        <v>30</v>
      </c>
      <c r="B108" s="1" t="s">
        <v>465</v>
      </c>
      <c r="C108" s="1" t="s">
        <v>233</v>
      </c>
      <c r="D108" s="1">
        <v>2023</v>
      </c>
      <c r="E108" s="1" t="s">
        <v>466</v>
      </c>
      <c r="F108" s="1" t="s">
        <v>45</v>
      </c>
      <c r="G108" s="1" t="s">
        <v>468</v>
      </c>
      <c r="H108" s="1" t="b">
        <f>FALSE()</f>
        <v>0</v>
      </c>
      <c r="I108" s="17">
        <v>48</v>
      </c>
      <c r="J108" s="1" t="s">
        <v>419</v>
      </c>
      <c r="K108" s="1" t="s">
        <v>261</v>
      </c>
      <c r="L108" s="1" t="s">
        <v>29</v>
      </c>
      <c r="M108" s="18">
        <v>1.06</v>
      </c>
      <c r="N108" s="18">
        <v>0.32</v>
      </c>
      <c r="O108" s="18">
        <f t="shared" si="0"/>
        <v>0.30188679245283018</v>
      </c>
      <c r="P108" s="19">
        <f t="shared" si="1"/>
        <v>30.188679245283019</v>
      </c>
      <c r="Q108" s="1" t="s">
        <v>420</v>
      </c>
      <c r="R108" s="1" t="s">
        <v>469</v>
      </c>
    </row>
    <row r="109" spans="1:18" ht="15" customHeight="1" x14ac:dyDescent="0.35">
      <c r="A109" s="1">
        <v>30</v>
      </c>
      <c r="B109" s="1" t="s">
        <v>465</v>
      </c>
      <c r="C109" s="1" t="s">
        <v>233</v>
      </c>
      <c r="D109" s="1">
        <v>2023</v>
      </c>
      <c r="E109" s="1" t="s">
        <v>466</v>
      </c>
      <c r="F109" s="1" t="s">
        <v>45</v>
      </c>
      <c r="G109" s="1" t="s">
        <v>468</v>
      </c>
      <c r="H109" s="1" t="b">
        <f>FALSE()</f>
        <v>0</v>
      </c>
      <c r="I109" s="17">
        <v>72</v>
      </c>
      <c r="J109" s="1" t="s">
        <v>419</v>
      </c>
      <c r="K109" s="1" t="s">
        <v>261</v>
      </c>
      <c r="L109" s="1" t="s">
        <v>29</v>
      </c>
      <c r="M109" s="18">
        <v>1.04</v>
      </c>
      <c r="N109" s="18">
        <v>0.15</v>
      </c>
      <c r="O109" s="18">
        <f t="shared" si="0"/>
        <v>0.14423076923076922</v>
      </c>
      <c r="P109" s="19">
        <f t="shared" si="1"/>
        <v>14.423076923076922</v>
      </c>
      <c r="Q109" s="1" t="s">
        <v>420</v>
      </c>
      <c r="R109" s="1" t="s">
        <v>469</v>
      </c>
    </row>
    <row r="110" spans="1:18" ht="15" customHeight="1" x14ac:dyDescent="0.35">
      <c r="A110" s="1">
        <v>30</v>
      </c>
      <c r="B110" s="1" t="s">
        <v>465</v>
      </c>
      <c r="C110" s="1" t="s">
        <v>233</v>
      </c>
      <c r="D110" s="1">
        <v>2023</v>
      </c>
      <c r="E110" s="1" t="s">
        <v>466</v>
      </c>
      <c r="F110" s="1" t="s">
        <v>45</v>
      </c>
      <c r="G110" s="1" t="s">
        <v>468</v>
      </c>
      <c r="H110" s="1" t="b">
        <f>FALSE()</f>
        <v>0</v>
      </c>
      <c r="I110" s="17">
        <v>96</v>
      </c>
      <c r="J110" s="1" t="s">
        <v>419</v>
      </c>
      <c r="K110" s="1" t="s">
        <v>261</v>
      </c>
      <c r="L110" s="1" t="s">
        <v>29</v>
      </c>
      <c r="M110" s="18">
        <v>1.07</v>
      </c>
      <c r="N110" s="18">
        <v>0.68</v>
      </c>
      <c r="O110" s="18">
        <f t="shared" si="0"/>
        <v>0.63551401869158874</v>
      </c>
      <c r="P110" s="19">
        <f t="shared" si="1"/>
        <v>63.551401869158873</v>
      </c>
      <c r="Q110" s="1" t="s">
        <v>420</v>
      </c>
      <c r="R110" s="1" t="s">
        <v>469</v>
      </c>
    </row>
    <row r="111" spans="1:18" ht="15" customHeight="1" x14ac:dyDescent="0.35">
      <c r="A111" s="1">
        <v>30</v>
      </c>
      <c r="B111" s="1" t="s">
        <v>465</v>
      </c>
      <c r="C111" s="1" t="s">
        <v>233</v>
      </c>
      <c r="D111" s="1">
        <v>2023</v>
      </c>
      <c r="E111" s="1" t="s">
        <v>466</v>
      </c>
      <c r="F111" s="1" t="s">
        <v>45</v>
      </c>
      <c r="G111" s="1" t="s">
        <v>470</v>
      </c>
      <c r="H111" s="1" t="b">
        <f>FALSE()</f>
        <v>0</v>
      </c>
      <c r="I111" s="17">
        <v>24</v>
      </c>
      <c r="J111" s="1" t="s">
        <v>419</v>
      </c>
      <c r="K111" s="1" t="s">
        <v>261</v>
      </c>
      <c r="L111" s="1" t="s">
        <v>29</v>
      </c>
      <c r="M111" s="18">
        <v>0.98</v>
      </c>
      <c r="N111" s="18">
        <v>0.32</v>
      </c>
      <c r="O111" s="18">
        <f t="shared" si="0"/>
        <v>0.32653061224489799</v>
      </c>
      <c r="P111" s="19">
        <f t="shared" si="1"/>
        <v>32.653061224489797</v>
      </c>
      <c r="Q111" s="1" t="s">
        <v>420</v>
      </c>
      <c r="R111" s="1" t="s">
        <v>471</v>
      </c>
    </row>
    <row r="112" spans="1:18" ht="15" customHeight="1" x14ac:dyDescent="0.35">
      <c r="A112" s="1">
        <v>30</v>
      </c>
      <c r="B112" s="1" t="s">
        <v>465</v>
      </c>
      <c r="C112" s="1" t="s">
        <v>233</v>
      </c>
      <c r="D112" s="1">
        <v>2023</v>
      </c>
      <c r="E112" s="1" t="s">
        <v>466</v>
      </c>
      <c r="F112" s="1" t="s">
        <v>45</v>
      </c>
      <c r="G112" s="1" t="s">
        <v>470</v>
      </c>
      <c r="H112" s="1" t="b">
        <f>FALSE()</f>
        <v>0</v>
      </c>
      <c r="I112" s="17">
        <v>48</v>
      </c>
      <c r="J112" s="1" t="s">
        <v>419</v>
      </c>
      <c r="K112" s="1" t="s">
        <v>261</v>
      </c>
      <c r="L112" s="1" t="s">
        <v>29</v>
      </c>
      <c r="M112" s="18">
        <v>1.02</v>
      </c>
      <c r="N112" s="18">
        <v>0.38</v>
      </c>
      <c r="O112" s="18">
        <f t="shared" si="0"/>
        <v>0.37254901960784315</v>
      </c>
      <c r="P112" s="19">
        <f t="shared" si="1"/>
        <v>37.254901960784316</v>
      </c>
      <c r="Q112" s="1" t="s">
        <v>420</v>
      </c>
      <c r="R112" s="1" t="s">
        <v>471</v>
      </c>
    </row>
    <row r="113" spans="1:18" ht="15" customHeight="1" x14ac:dyDescent="0.35">
      <c r="A113" s="1">
        <v>30</v>
      </c>
      <c r="B113" s="1" t="s">
        <v>465</v>
      </c>
      <c r="C113" s="1" t="s">
        <v>233</v>
      </c>
      <c r="D113" s="1">
        <v>2023</v>
      </c>
      <c r="E113" s="1" t="s">
        <v>466</v>
      </c>
      <c r="F113" s="1" t="s">
        <v>45</v>
      </c>
      <c r="G113" s="1" t="s">
        <v>470</v>
      </c>
      <c r="H113" s="1" t="b">
        <f>FALSE()</f>
        <v>0</v>
      </c>
      <c r="I113" s="17">
        <v>72</v>
      </c>
      <c r="J113" s="1" t="s">
        <v>419</v>
      </c>
      <c r="K113" s="1" t="s">
        <v>261</v>
      </c>
      <c r="L113" s="1" t="s">
        <v>29</v>
      </c>
      <c r="M113" s="18">
        <v>0.98</v>
      </c>
      <c r="N113" s="18">
        <v>0.22</v>
      </c>
      <c r="O113" s="18">
        <f t="shared" si="0"/>
        <v>0.22448979591836735</v>
      </c>
      <c r="P113" s="19">
        <f t="shared" si="1"/>
        <v>22.448979591836736</v>
      </c>
      <c r="Q113" s="1" t="s">
        <v>420</v>
      </c>
      <c r="R113" s="1" t="s">
        <v>471</v>
      </c>
    </row>
    <row r="114" spans="1:18" ht="15" customHeight="1" x14ac:dyDescent="0.35">
      <c r="A114" s="1">
        <v>30</v>
      </c>
      <c r="B114" s="1" t="s">
        <v>465</v>
      </c>
      <c r="C114" s="1" t="s">
        <v>233</v>
      </c>
      <c r="D114" s="1">
        <v>2023</v>
      </c>
      <c r="E114" s="1" t="s">
        <v>466</v>
      </c>
      <c r="F114" s="1" t="s">
        <v>45</v>
      </c>
      <c r="G114" s="1" t="s">
        <v>470</v>
      </c>
      <c r="H114" s="1" t="b">
        <f>FALSE()</f>
        <v>0</v>
      </c>
      <c r="I114" s="17">
        <v>96</v>
      </c>
      <c r="J114" s="1" t="s">
        <v>419</v>
      </c>
      <c r="K114" s="1" t="s">
        <v>261</v>
      </c>
      <c r="L114" s="1" t="s">
        <v>29</v>
      </c>
      <c r="M114" s="18">
        <v>1.02</v>
      </c>
      <c r="N114" s="18">
        <v>1.68</v>
      </c>
      <c r="O114" s="18">
        <f t="shared" si="0"/>
        <v>1.6470588235294117</v>
      </c>
      <c r="P114" s="19">
        <f t="shared" si="1"/>
        <v>164.70588235294116</v>
      </c>
      <c r="Q114" s="1" t="s">
        <v>420</v>
      </c>
      <c r="R114" s="1" t="s">
        <v>471</v>
      </c>
    </row>
    <row r="115" spans="1:18" ht="15" customHeight="1" x14ac:dyDescent="0.35">
      <c r="A115" s="1">
        <v>30</v>
      </c>
      <c r="B115" s="1" t="s">
        <v>465</v>
      </c>
      <c r="C115" s="1" t="s">
        <v>233</v>
      </c>
      <c r="D115" s="1">
        <v>2023</v>
      </c>
      <c r="E115" s="1" t="s">
        <v>466</v>
      </c>
      <c r="F115" s="1" t="s">
        <v>45</v>
      </c>
      <c r="G115" s="1" t="s">
        <v>259</v>
      </c>
      <c r="H115" s="1" t="b">
        <f>TRUE()</f>
        <v>1</v>
      </c>
      <c r="I115" s="17">
        <v>24</v>
      </c>
      <c r="J115" s="1" t="s">
        <v>447</v>
      </c>
      <c r="K115" s="1" t="s">
        <v>261</v>
      </c>
      <c r="L115" s="1" t="s">
        <v>121</v>
      </c>
      <c r="M115" s="17">
        <v>7000</v>
      </c>
      <c r="N115" s="17">
        <v>500</v>
      </c>
      <c r="O115" s="18">
        <f t="shared" si="0"/>
        <v>7.1428571428571425E-2</v>
      </c>
      <c r="P115" s="19">
        <f t="shared" si="1"/>
        <v>7.1428571428571423</v>
      </c>
      <c r="Q115" s="1" t="s">
        <v>448</v>
      </c>
      <c r="R115" s="1" t="s">
        <v>472</v>
      </c>
    </row>
    <row r="116" spans="1:18" ht="15" customHeight="1" x14ac:dyDescent="0.35">
      <c r="A116" s="1">
        <v>30</v>
      </c>
      <c r="B116" s="1" t="s">
        <v>465</v>
      </c>
      <c r="C116" s="1" t="s">
        <v>233</v>
      </c>
      <c r="D116" s="1">
        <v>2023</v>
      </c>
      <c r="E116" s="1" t="s">
        <v>466</v>
      </c>
      <c r="F116" s="1" t="s">
        <v>45</v>
      </c>
      <c r="G116" s="1" t="s">
        <v>259</v>
      </c>
      <c r="H116" s="1" t="b">
        <f>TRUE()</f>
        <v>1</v>
      </c>
      <c r="I116" s="17">
        <v>48</v>
      </c>
      <c r="J116" s="1" t="s">
        <v>447</v>
      </c>
      <c r="K116" s="1" t="s">
        <v>261</v>
      </c>
      <c r="L116" s="1" t="s">
        <v>121</v>
      </c>
      <c r="M116" s="17">
        <v>9000</v>
      </c>
      <c r="N116" s="17">
        <v>4000</v>
      </c>
      <c r="O116" s="18">
        <f t="shared" si="0"/>
        <v>0.44444444444444442</v>
      </c>
      <c r="P116" s="19">
        <f t="shared" si="1"/>
        <v>44.444444444444443</v>
      </c>
      <c r="Q116" s="1" t="s">
        <v>448</v>
      </c>
      <c r="R116" s="1" t="s">
        <v>472</v>
      </c>
    </row>
    <row r="117" spans="1:18" ht="15" customHeight="1" x14ac:dyDescent="0.35">
      <c r="A117" s="1">
        <v>30</v>
      </c>
      <c r="B117" s="1" t="s">
        <v>465</v>
      </c>
      <c r="C117" s="1" t="s">
        <v>233</v>
      </c>
      <c r="D117" s="1">
        <v>2023</v>
      </c>
      <c r="E117" s="1" t="s">
        <v>466</v>
      </c>
      <c r="F117" s="1" t="s">
        <v>45</v>
      </c>
      <c r="G117" s="1" t="s">
        <v>259</v>
      </c>
      <c r="H117" s="1" t="b">
        <f>TRUE()</f>
        <v>1</v>
      </c>
      <c r="I117" s="17">
        <v>72</v>
      </c>
      <c r="J117" s="1" t="s">
        <v>447</v>
      </c>
      <c r="K117" s="1" t="s">
        <v>261</v>
      </c>
      <c r="L117" s="1" t="s">
        <v>121</v>
      </c>
      <c r="M117" s="17">
        <v>26000</v>
      </c>
      <c r="N117" s="17">
        <v>6000</v>
      </c>
      <c r="O117" s="18">
        <f t="shared" si="0"/>
        <v>0.23076923076923078</v>
      </c>
      <c r="P117" s="19">
        <f t="shared" si="1"/>
        <v>23.076923076923077</v>
      </c>
      <c r="Q117" s="1" t="s">
        <v>448</v>
      </c>
      <c r="R117" s="1" t="s">
        <v>472</v>
      </c>
    </row>
    <row r="118" spans="1:18" ht="15" customHeight="1" x14ac:dyDescent="0.35">
      <c r="A118" s="1">
        <v>30</v>
      </c>
      <c r="B118" s="1" t="s">
        <v>465</v>
      </c>
      <c r="C118" s="1" t="s">
        <v>233</v>
      </c>
      <c r="D118" s="1">
        <v>2023</v>
      </c>
      <c r="E118" s="1" t="s">
        <v>466</v>
      </c>
      <c r="F118" s="1" t="s">
        <v>45</v>
      </c>
      <c r="G118" s="1" t="s">
        <v>259</v>
      </c>
      <c r="H118" s="1" t="b">
        <f>TRUE()</f>
        <v>1</v>
      </c>
      <c r="I118" s="17">
        <v>96</v>
      </c>
      <c r="J118" s="1" t="s">
        <v>447</v>
      </c>
      <c r="K118" s="1" t="s">
        <v>261</v>
      </c>
      <c r="L118" s="1" t="s">
        <v>121</v>
      </c>
      <c r="M118" s="17">
        <v>120000</v>
      </c>
      <c r="N118" s="17">
        <v>25000</v>
      </c>
      <c r="O118" s="18">
        <f t="shared" si="0"/>
        <v>0.20833333333333334</v>
      </c>
      <c r="P118" s="19">
        <f t="shared" si="1"/>
        <v>20.833333333333336</v>
      </c>
      <c r="Q118" s="1" t="s">
        <v>448</v>
      </c>
      <c r="R118" s="1" t="s">
        <v>472</v>
      </c>
    </row>
    <row r="119" spans="1:18" ht="15" customHeight="1" x14ac:dyDescent="0.35">
      <c r="A119" s="1">
        <v>30</v>
      </c>
      <c r="B119" s="1" t="s">
        <v>465</v>
      </c>
      <c r="C119" s="1" t="s">
        <v>233</v>
      </c>
      <c r="D119" s="1">
        <v>2023</v>
      </c>
      <c r="E119" s="1" t="s">
        <v>466</v>
      </c>
      <c r="F119" s="1" t="s">
        <v>45</v>
      </c>
      <c r="G119" s="1" t="s">
        <v>259</v>
      </c>
      <c r="H119" s="1" t="b">
        <f>TRUE()</f>
        <v>1</v>
      </c>
      <c r="I119" s="17">
        <v>120</v>
      </c>
      <c r="J119" s="1" t="s">
        <v>447</v>
      </c>
      <c r="K119" s="1" t="s">
        <v>261</v>
      </c>
      <c r="L119" s="1" t="s">
        <v>121</v>
      </c>
      <c r="M119" s="17">
        <v>3000000</v>
      </c>
      <c r="N119" s="17">
        <v>2400000</v>
      </c>
      <c r="O119" s="18">
        <f t="shared" si="0"/>
        <v>0.8</v>
      </c>
      <c r="P119" s="19">
        <f t="shared" si="1"/>
        <v>80</v>
      </c>
      <c r="Q119" s="1" t="s">
        <v>448</v>
      </c>
      <c r="R119" s="1" t="s">
        <v>472</v>
      </c>
    </row>
    <row r="120" spans="1:18" ht="15" customHeight="1" x14ac:dyDescent="0.35">
      <c r="A120" s="1">
        <v>29</v>
      </c>
      <c r="B120" s="1" t="s">
        <v>473</v>
      </c>
      <c r="C120" s="1" t="s">
        <v>248</v>
      </c>
      <c r="D120" s="1">
        <v>2023</v>
      </c>
      <c r="E120" s="1" t="s">
        <v>474</v>
      </c>
      <c r="F120" s="1" t="s">
        <v>45</v>
      </c>
      <c r="G120" s="1" t="s">
        <v>251</v>
      </c>
      <c r="H120" s="1" t="b">
        <f>TRUE()</f>
        <v>1</v>
      </c>
      <c r="I120" s="17">
        <v>24</v>
      </c>
      <c r="J120" s="1" t="s">
        <v>419</v>
      </c>
      <c r="K120" s="1" t="s">
        <v>253</v>
      </c>
      <c r="L120" s="1" t="s">
        <v>29</v>
      </c>
      <c r="M120" s="18">
        <v>1.2</v>
      </c>
      <c r="N120" s="18">
        <v>0.98</v>
      </c>
      <c r="O120" s="18">
        <f t="shared" si="0"/>
        <v>0.81666666666666665</v>
      </c>
      <c r="P120" s="19">
        <f t="shared" si="1"/>
        <v>81.666666666666671</v>
      </c>
      <c r="Q120" s="1" t="s">
        <v>420</v>
      </c>
      <c r="R120" s="1" t="s">
        <v>475</v>
      </c>
    </row>
    <row r="121" spans="1:18" ht="15" customHeight="1" x14ac:dyDescent="0.35">
      <c r="A121" s="1">
        <v>29</v>
      </c>
      <c r="B121" s="1" t="s">
        <v>473</v>
      </c>
      <c r="C121" s="1" t="s">
        <v>248</v>
      </c>
      <c r="D121" s="1">
        <v>2023</v>
      </c>
      <c r="E121" s="1" t="s">
        <v>474</v>
      </c>
      <c r="F121" s="1" t="s">
        <v>45</v>
      </c>
      <c r="G121" s="1" t="s">
        <v>251</v>
      </c>
      <c r="H121" s="1" t="b">
        <f>TRUE()</f>
        <v>1</v>
      </c>
      <c r="I121" s="17">
        <v>48</v>
      </c>
      <c r="J121" s="1" t="s">
        <v>419</v>
      </c>
      <c r="K121" s="1" t="s">
        <v>253</v>
      </c>
      <c r="L121" s="1" t="s">
        <v>29</v>
      </c>
      <c r="M121" s="18">
        <v>1.8</v>
      </c>
      <c r="N121" s="18">
        <v>1.6</v>
      </c>
      <c r="O121" s="18">
        <f t="shared" si="0"/>
        <v>0.88888888888888895</v>
      </c>
      <c r="P121" s="19">
        <f t="shared" si="1"/>
        <v>88.8888888888889</v>
      </c>
      <c r="Q121" s="1" t="s">
        <v>420</v>
      </c>
      <c r="R121" s="1" t="s">
        <v>475</v>
      </c>
    </row>
    <row r="122" spans="1:18" ht="15" customHeight="1" x14ac:dyDescent="0.35">
      <c r="A122" s="1">
        <v>29</v>
      </c>
      <c r="B122" s="1" t="s">
        <v>473</v>
      </c>
      <c r="C122" s="1" t="s">
        <v>248</v>
      </c>
      <c r="D122" s="1">
        <v>2023</v>
      </c>
      <c r="E122" s="1" t="s">
        <v>474</v>
      </c>
      <c r="F122" s="1" t="s">
        <v>45</v>
      </c>
      <c r="G122" s="1" t="s">
        <v>251</v>
      </c>
      <c r="H122" s="1" t="b">
        <f>TRUE()</f>
        <v>1</v>
      </c>
      <c r="I122" s="17">
        <v>72</v>
      </c>
      <c r="J122" s="1" t="s">
        <v>419</v>
      </c>
      <c r="K122" s="1" t="s">
        <v>253</v>
      </c>
      <c r="L122" s="1" t="s">
        <v>29</v>
      </c>
      <c r="M122" s="18">
        <v>1</v>
      </c>
      <c r="N122" s="18">
        <v>0.3</v>
      </c>
      <c r="O122" s="18">
        <f t="shared" si="0"/>
        <v>0.3</v>
      </c>
      <c r="P122" s="19">
        <f t="shared" si="1"/>
        <v>30</v>
      </c>
      <c r="Q122" s="1" t="s">
        <v>420</v>
      </c>
      <c r="R122" s="1" t="s">
        <v>475</v>
      </c>
    </row>
    <row r="123" spans="1:18" ht="15" customHeight="1" x14ac:dyDescent="0.35">
      <c r="A123" s="1">
        <v>29</v>
      </c>
      <c r="B123" s="1" t="s">
        <v>473</v>
      </c>
      <c r="C123" s="1" t="s">
        <v>248</v>
      </c>
      <c r="D123" s="1">
        <v>2023</v>
      </c>
      <c r="E123" s="1" t="s">
        <v>474</v>
      </c>
      <c r="F123" s="1" t="s">
        <v>45</v>
      </c>
      <c r="G123" s="1" t="s">
        <v>251</v>
      </c>
      <c r="H123" s="1" t="b">
        <f>TRUE()</f>
        <v>1</v>
      </c>
      <c r="I123" s="17">
        <v>96</v>
      </c>
      <c r="J123" s="1" t="s">
        <v>419</v>
      </c>
      <c r="K123" s="1" t="s">
        <v>253</v>
      </c>
      <c r="L123" s="1" t="s">
        <v>29</v>
      </c>
      <c r="M123" s="18">
        <v>0.9</v>
      </c>
      <c r="N123" s="18">
        <v>0.72</v>
      </c>
      <c r="O123" s="18">
        <f t="shared" si="0"/>
        <v>0.79999999999999993</v>
      </c>
      <c r="P123" s="19">
        <f t="shared" si="1"/>
        <v>80</v>
      </c>
      <c r="Q123" s="1" t="s">
        <v>420</v>
      </c>
      <c r="R123" s="1" t="s">
        <v>475</v>
      </c>
    </row>
    <row r="124" spans="1:18" ht="15" customHeight="1" x14ac:dyDescent="0.35">
      <c r="A124" s="1">
        <v>29</v>
      </c>
      <c r="B124" s="1" t="s">
        <v>473</v>
      </c>
      <c r="C124" s="1" t="s">
        <v>248</v>
      </c>
      <c r="D124" s="1">
        <v>2023</v>
      </c>
      <c r="E124" s="1" t="s">
        <v>474</v>
      </c>
      <c r="F124" s="1" t="s">
        <v>45</v>
      </c>
      <c r="G124" s="1" t="s">
        <v>254</v>
      </c>
      <c r="H124" s="1" t="b">
        <f>FALSE()</f>
        <v>0</v>
      </c>
      <c r="I124" s="17">
        <v>48</v>
      </c>
      <c r="J124" s="1" t="s">
        <v>419</v>
      </c>
      <c r="K124" s="1" t="s">
        <v>253</v>
      </c>
      <c r="L124" s="1" t="s">
        <v>29</v>
      </c>
      <c r="M124" s="18">
        <v>1.05</v>
      </c>
      <c r="N124" s="18">
        <v>0.22</v>
      </c>
      <c r="O124" s="18">
        <f t="shared" si="0"/>
        <v>0.20952380952380953</v>
      </c>
      <c r="P124" s="19">
        <f t="shared" si="1"/>
        <v>20.952380952380953</v>
      </c>
      <c r="Q124" s="1" t="s">
        <v>420</v>
      </c>
      <c r="R124" s="1" t="s">
        <v>476</v>
      </c>
    </row>
    <row r="125" spans="1:18" ht="15" customHeight="1" x14ac:dyDescent="0.35">
      <c r="A125" s="1">
        <v>29</v>
      </c>
      <c r="B125" s="1" t="s">
        <v>473</v>
      </c>
      <c r="C125" s="1" t="s">
        <v>248</v>
      </c>
      <c r="D125" s="1">
        <v>2023</v>
      </c>
      <c r="E125" s="1" t="s">
        <v>474</v>
      </c>
      <c r="F125" s="1" t="s">
        <v>45</v>
      </c>
      <c r="G125" s="1" t="s">
        <v>254</v>
      </c>
      <c r="H125" s="1" t="b">
        <f>FALSE()</f>
        <v>0</v>
      </c>
      <c r="I125" s="17">
        <v>72</v>
      </c>
      <c r="J125" s="1" t="s">
        <v>419</v>
      </c>
      <c r="K125" s="1" t="s">
        <v>253</v>
      </c>
      <c r="L125" s="1" t="s">
        <v>29</v>
      </c>
      <c r="M125" s="18">
        <v>1</v>
      </c>
      <c r="N125" s="18">
        <v>0.63</v>
      </c>
      <c r="O125" s="18">
        <f t="shared" si="0"/>
        <v>0.63</v>
      </c>
      <c r="P125" s="19">
        <f t="shared" si="1"/>
        <v>63</v>
      </c>
      <c r="Q125" s="1" t="s">
        <v>420</v>
      </c>
      <c r="R125" s="1" t="s">
        <v>476</v>
      </c>
    </row>
    <row r="126" spans="1:18" ht="15" customHeight="1" x14ac:dyDescent="0.35">
      <c r="A126" s="1">
        <v>29</v>
      </c>
      <c r="B126" s="1" t="s">
        <v>473</v>
      </c>
      <c r="C126" s="1" t="s">
        <v>248</v>
      </c>
      <c r="D126" s="1">
        <v>2023</v>
      </c>
      <c r="E126" s="1" t="s">
        <v>474</v>
      </c>
      <c r="F126" s="1" t="s">
        <v>45</v>
      </c>
      <c r="G126" s="1" t="s">
        <v>254</v>
      </c>
      <c r="H126" s="1" t="b">
        <f>FALSE()</f>
        <v>0</v>
      </c>
      <c r="I126" s="17">
        <v>96</v>
      </c>
      <c r="J126" s="1" t="s">
        <v>419</v>
      </c>
      <c r="K126" s="1" t="s">
        <v>253</v>
      </c>
      <c r="L126" s="1" t="s">
        <v>29</v>
      </c>
      <c r="M126" s="18">
        <v>1.02</v>
      </c>
      <c r="N126" s="18">
        <v>0.48</v>
      </c>
      <c r="O126" s="18">
        <f t="shared" si="0"/>
        <v>0.47058823529411764</v>
      </c>
      <c r="P126" s="19">
        <f t="shared" si="1"/>
        <v>47.058823529411761</v>
      </c>
      <c r="Q126" s="1" t="s">
        <v>420</v>
      </c>
      <c r="R126" s="1" t="s">
        <v>476</v>
      </c>
    </row>
    <row r="127" spans="1:18" ht="15" customHeight="1" x14ac:dyDescent="0.35">
      <c r="A127" s="1">
        <v>29</v>
      </c>
      <c r="B127" s="1" t="s">
        <v>473</v>
      </c>
      <c r="C127" s="1" t="s">
        <v>248</v>
      </c>
      <c r="D127" s="1">
        <v>2023</v>
      </c>
      <c r="E127" s="1" t="s">
        <v>474</v>
      </c>
      <c r="F127" s="1" t="s">
        <v>45</v>
      </c>
      <c r="G127" s="1" t="s">
        <v>251</v>
      </c>
      <c r="H127" s="1" t="b">
        <f>TRUE()</f>
        <v>1</v>
      </c>
      <c r="I127" s="17">
        <v>24</v>
      </c>
      <c r="J127" s="1" t="s">
        <v>442</v>
      </c>
      <c r="K127" s="1" t="s">
        <v>253</v>
      </c>
      <c r="L127" s="1" t="s">
        <v>154</v>
      </c>
      <c r="M127" s="18">
        <v>1</v>
      </c>
      <c r="N127" s="18">
        <v>0.5</v>
      </c>
      <c r="O127" s="18">
        <f t="shared" si="0"/>
        <v>0.5</v>
      </c>
      <c r="P127" s="19">
        <f t="shared" si="1"/>
        <v>50</v>
      </c>
      <c r="Q127" s="1" t="s">
        <v>420</v>
      </c>
      <c r="R127" s="1" t="s">
        <v>477</v>
      </c>
    </row>
    <row r="128" spans="1:18" ht="15" customHeight="1" x14ac:dyDescent="0.35">
      <c r="A128" s="1">
        <v>29</v>
      </c>
      <c r="B128" s="1" t="s">
        <v>473</v>
      </c>
      <c r="C128" s="1" t="s">
        <v>248</v>
      </c>
      <c r="D128" s="1">
        <v>2023</v>
      </c>
      <c r="E128" s="1" t="s">
        <v>474</v>
      </c>
      <c r="F128" s="1" t="s">
        <v>45</v>
      </c>
      <c r="G128" s="1" t="s">
        <v>251</v>
      </c>
      <c r="H128" s="1" t="b">
        <f>TRUE()</f>
        <v>1</v>
      </c>
      <c r="I128" s="17">
        <v>48</v>
      </c>
      <c r="J128" s="1" t="s">
        <v>442</v>
      </c>
      <c r="K128" s="1" t="s">
        <v>253</v>
      </c>
      <c r="L128" s="1" t="s">
        <v>154</v>
      </c>
      <c r="M128" s="18">
        <v>0.98</v>
      </c>
      <c r="N128" s="18">
        <v>0.7</v>
      </c>
      <c r="O128" s="18">
        <f t="shared" si="0"/>
        <v>0.7142857142857143</v>
      </c>
      <c r="P128" s="19">
        <f t="shared" si="1"/>
        <v>71.428571428571431</v>
      </c>
      <c r="Q128" s="1" t="s">
        <v>420</v>
      </c>
      <c r="R128" s="1" t="s">
        <v>477</v>
      </c>
    </row>
    <row r="129" spans="1:18" ht="15" customHeight="1" x14ac:dyDescent="0.35">
      <c r="A129" s="1">
        <v>29</v>
      </c>
      <c r="B129" s="1" t="s">
        <v>473</v>
      </c>
      <c r="C129" s="1" t="s">
        <v>248</v>
      </c>
      <c r="D129" s="1">
        <v>2023</v>
      </c>
      <c r="E129" s="1" t="s">
        <v>474</v>
      </c>
      <c r="F129" s="1" t="s">
        <v>45</v>
      </c>
      <c r="G129" s="1" t="s">
        <v>251</v>
      </c>
      <c r="H129" s="1" t="b">
        <f>TRUE()</f>
        <v>1</v>
      </c>
      <c r="I129" s="17">
        <v>72</v>
      </c>
      <c r="J129" s="1" t="s">
        <v>442</v>
      </c>
      <c r="K129" s="1" t="s">
        <v>253</v>
      </c>
      <c r="L129" s="1" t="s">
        <v>154</v>
      </c>
      <c r="M129" s="18">
        <v>0.99</v>
      </c>
      <c r="N129" s="18">
        <v>0.53</v>
      </c>
      <c r="O129" s="18">
        <f t="shared" si="0"/>
        <v>0.53535353535353536</v>
      </c>
      <c r="P129" s="19">
        <f t="shared" si="1"/>
        <v>53.535353535353536</v>
      </c>
      <c r="Q129" s="1" t="s">
        <v>420</v>
      </c>
      <c r="R129" s="1" t="s">
        <v>477</v>
      </c>
    </row>
    <row r="130" spans="1:18" ht="15" customHeight="1" x14ac:dyDescent="0.35">
      <c r="A130" s="1">
        <v>29</v>
      </c>
      <c r="B130" s="1" t="s">
        <v>473</v>
      </c>
      <c r="C130" s="1" t="s">
        <v>248</v>
      </c>
      <c r="D130" s="1">
        <v>2023</v>
      </c>
      <c r="E130" s="1" t="s">
        <v>474</v>
      </c>
      <c r="F130" s="1" t="s">
        <v>45</v>
      </c>
      <c r="G130" s="1" t="s">
        <v>251</v>
      </c>
      <c r="H130" s="1" t="b">
        <f>TRUE()</f>
        <v>1</v>
      </c>
      <c r="I130" s="17">
        <v>96</v>
      </c>
      <c r="J130" s="1" t="s">
        <v>442</v>
      </c>
      <c r="K130" s="1" t="s">
        <v>253</v>
      </c>
      <c r="L130" s="1" t="s">
        <v>154</v>
      </c>
      <c r="M130" s="18">
        <v>0.98</v>
      </c>
      <c r="N130" s="18">
        <v>0.95</v>
      </c>
      <c r="O130" s="18">
        <f t="shared" si="0"/>
        <v>0.96938775510204078</v>
      </c>
      <c r="P130" s="19">
        <f t="shared" si="1"/>
        <v>96.938775510204081</v>
      </c>
      <c r="Q130" s="1" t="s">
        <v>420</v>
      </c>
      <c r="R130" s="1" t="s">
        <v>477</v>
      </c>
    </row>
    <row r="131" spans="1:18" ht="15" customHeight="1" x14ac:dyDescent="0.35">
      <c r="A131" s="1">
        <v>37</v>
      </c>
      <c r="B131" s="1" t="s">
        <v>478</v>
      </c>
      <c r="C131" s="1" t="s">
        <v>323</v>
      </c>
      <c r="D131" s="1">
        <v>2026</v>
      </c>
      <c r="E131" s="1" t="s">
        <v>479</v>
      </c>
      <c r="F131" s="1" t="s">
        <v>417</v>
      </c>
      <c r="G131" s="1" t="s">
        <v>327</v>
      </c>
      <c r="H131" s="1" t="b">
        <f>TRUE()</f>
        <v>1</v>
      </c>
      <c r="I131" s="17">
        <v>0</v>
      </c>
      <c r="J131" s="1" t="s">
        <v>419</v>
      </c>
      <c r="K131" s="1" t="s">
        <v>329</v>
      </c>
      <c r="L131" s="1" t="s">
        <v>29</v>
      </c>
      <c r="M131" s="18">
        <v>1</v>
      </c>
      <c r="N131" s="18">
        <v>1</v>
      </c>
      <c r="O131" s="18">
        <f t="shared" si="0"/>
        <v>1</v>
      </c>
      <c r="P131" s="19">
        <f t="shared" si="1"/>
        <v>100</v>
      </c>
      <c r="Q131" s="1" t="s">
        <v>420</v>
      </c>
      <c r="R131" s="1" t="s">
        <v>480</v>
      </c>
    </row>
    <row r="132" spans="1:18" ht="15" customHeight="1" x14ac:dyDescent="0.35">
      <c r="A132" s="1">
        <v>37</v>
      </c>
      <c r="B132" s="1" t="s">
        <v>478</v>
      </c>
      <c r="C132" s="1" t="s">
        <v>323</v>
      </c>
      <c r="D132" s="1">
        <v>2026</v>
      </c>
      <c r="E132" s="1" t="s">
        <v>479</v>
      </c>
      <c r="F132" s="1" t="s">
        <v>417</v>
      </c>
      <c r="G132" s="1" t="s">
        <v>327</v>
      </c>
      <c r="H132" s="1" t="b">
        <f>TRUE()</f>
        <v>1</v>
      </c>
      <c r="I132" s="17">
        <v>12</v>
      </c>
      <c r="J132" s="1" t="s">
        <v>419</v>
      </c>
      <c r="K132" s="1" t="s">
        <v>329</v>
      </c>
      <c r="L132" s="1" t="s">
        <v>29</v>
      </c>
      <c r="M132" s="18">
        <v>0.8</v>
      </c>
      <c r="N132" s="18">
        <v>1</v>
      </c>
      <c r="O132" s="18">
        <f t="shared" si="0"/>
        <v>1.25</v>
      </c>
      <c r="P132" s="19">
        <f t="shared" si="1"/>
        <v>125</v>
      </c>
      <c r="Q132" s="1" t="s">
        <v>420</v>
      </c>
      <c r="R132" s="1" t="s">
        <v>480</v>
      </c>
    </row>
    <row r="133" spans="1:18" ht="15" customHeight="1" x14ac:dyDescent="0.35">
      <c r="A133" s="1">
        <v>37</v>
      </c>
      <c r="B133" s="1" t="s">
        <v>478</v>
      </c>
      <c r="C133" s="1" t="s">
        <v>323</v>
      </c>
      <c r="D133" s="1">
        <v>2026</v>
      </c>
      <c r="E133" s="1" t="s">
        <v>479</v>
      </c>
      <c r="F133" s="1" t="s">
        <v>417</v>
      </c>
      <c r="G133" s="1" t="s">
        <v>327</v>
      </c>
      <c r="H133" s="1" t="b">
        <f>TRUE()</f>
        <v>1</v>
      </c>
      <c r="I133" s="17">
        <v>24</v>
      </c>
      <c r="J133" s="1" t="s">
        <v>419</v>
      </c>
      <c r="K133" s="1" t="s">
        <v>329</v>
      </c>
      <c r="L133" s="1" t="s">
        <v>29</v>
      </c>
      <c r="M133" s="18">
        <v>17</v>
      </c>
      <c r="N133" s="18">
        <v>0.1</v>
      </c>
      <c r="O133" s="18">
        <f t="shared" si="0"/>
        <v>5.8823529411764705E-3</v>
      </c>
      <c r="P133" s="19">
        <f t="shared" si="1"/>
        <v>0.58823529411764708</v>
      </c>
      <c r="Q133" s="1" t="s">
        <v>420</v>
      </c>
      <c r="R133" s="1" t="s">
        <v>480</v>
      </c>
    </row>
    <row r="134" spans="1:18" ht="15" customHeight="1" x14ac:dyDescent="0.35">
      <c r="A134" s="1">
        <v>37</v>
      </c>
      <c r="B134" s="1" t="s">
        <v>478</v>
      </c>
      <c r="C134" s="1" t="s">
        <v>323</v>
      </c>
      <c r="D134" s="1">
        <v>2026</v>
      </c>
      <c r="E134" s="1" t="s">
        <v>479</v>
      </c>
      <c r="F134" s="1" t="s">
        <v>417</v>
      </c>
      <c r="G134" s="1" t="s">
        <v>327</v>
      </c>
      <c r="H134" s="1" t="b">
        <f>TRUE()</f>
        <v>1</v>
      </c>
      <c r="I134" s="17">
        <v>48</v>
      </c>
      <c r="J134" s="1" t="s">
        <v>419</v>
      </c>
      <c r="K134" s="1" t="s">
        <v>329</v>
      </c>
      <c r="L134" s="1" t="s">
        <v>29</v>
      </c>
      <c r="M134" s="18">
        <v>8</v>
      </c>
      <c r="N134" s="18">
        <v>0.68</v>
      </c>
      <c r="O134" s="18">
        <f t="shared" si="0"/>
        <v>8.5000000000000006E-2</v>
      </c>
      <c r="P134" s="19">
        <f t="shared" si="1"/>
        <v>8.5</v>
      </c>
      <c r="Q134" s="1" t="s">
        <v>420</v>
      </c>
      <c r="R134" s="1" t="s">
        <v>480</v>
      </c>
    </row>
    <row r="135" spans="1:18" ht="15" customHeight="1" x14ac:dyDescent="0.35">
      <c r="A135" s="1">
        <v>37</v>
      </c>
      <c r="B135" s="1" t="s">
        <v>478</v>
      </c>
      <c r="C135" s="1" t="s">
        <v>323</v>
      </c>
      <c r="D135" s="1">
        <v>2026</v>
      </c>
      <c r="E135" s="1" t="s">
        <v>479</v>
      </c>
      <c r="F135" s="1" t="s">
        <v>417</v>
      </c>
      <c r="G135" s="1" t="s">
        <v>327</v>
      </c>
      <c r="H135" s="1" t="b">
        <f>TRUE()</f>
        <v>1</v>
      </c>
      <c r="I135" s="17">
        <v>72</v>
      </c>
      <c r="J135" s="1" t="s">
        <v>419</v>
      </c>
      <c r="K135" s="1" t="s">
        <v>329</v>
      </c>
      <c r="L135" s="1" t="s">
        <v>29</v>
      </c>
      <c r="M135" s="18">
        <v>3</v>
      </c>
      <c r="N135" s="18">
        <v>0.1</v>
      </c>
      <c r="O135" s="18">
        <f t="shared" si="0"/>
        <v>3.3333333333333333E-2</v>
      </c>
      <c r="P135" s="19">
        <f t="shared" si="1"/>
        <v>3.3333333333333335</v>
      </c>
      <c r="Q135" s="1" t="s">
        <v>420</v>
      </c>
      <c r="R135" s="1" t="s">
        <v>480</v>
      </c>
    </row>
    <row r="136" spans="1:18" ht="15" customHeight="1" x14ac:dyDescent="0.35">
      <c r="A136" s="1">
        <v>37</v>
      </c>
      <c r="B136" s="1" t="s">
        <v>478</v>
      </c>
      <c r="C136" s="1" t="s">
        <v>323</v>
      </c>
      <c r="D136" s="1">
        <v>2026</v>
      </c>
      <c r="E136" s="1" t="s">
        <v>479</v>
      </c>
      <c r="F136" s="1" t="s">
        <v>417</v>
      </c>
      <c r="G136" s="1" t="s">
        <v>327</v>
      </c>
      <c r="H136" s="1" t="b">
        <f>TRUE()</f>
        <v>1</v>
      </c>
      <c r="I136" s="17">
        <v>96</v>
      </c>
      <c r="J136" s="1" t="s">
        <v>419</v>
      </c>
      <c r="K136" s="1" t="s">
        <v>329</v>
      </c>
      <c r="L136" s="1" t="s">
        <v>29</v>
      </c>
      <c r="M136" s="18">
        <v>6.5</v>
      </c>
      <c r="N136" s="18">
        <v>0.82</v>
      </c>
      <c r="O136" s="18">
        <f t="shared" si="0"/>
        <v>0.12615384615384614</v>
      </c>
      <c r="P136" s="19">
        <f t="shared" si="1"/>
        <v>12.615384615384615</v>
      </c>
      <c r="Q136" s="1" t="s">
        <v>420</v>
      </c>
      <c r="R136" s="1" t="s">
        <v>480</v>
      </c>
    </row>
    <row r="137" spans="1:18" ht="15" customHeight="1" x14ac:dyDescent="0.35">
      <c r="A137" s="1">
        <v>37</v>
      </c>
      <c r="B137" s="1" t="s">
        <v>478</v>
      </c>
      <c r="C137" s="1" t="s">
        <v>323</v>
      </c>
      <c r="D137" s="1">
        <v>2026</v>
      </c>
      <c r="E137" s="1" t="s">
        <v>479</v>
      </c>
      <c r="F137" s="1" t="s">
        <v>417</v>
      </c>
      <c r="G137" s="1" t="s">
        <v>327</v>
      </c>
      <c r="H137" s="1" t="b">
        <f>TRUE()</f>
        <v>1</v>
      </c>
      <c r="I137" s="17">
        <v>0</v>
      </c>
      <c r="J137" s="1" t="s">
        <v>428</v>
      </c>
      <c r="K137" s="1" t="s">
        <v>329</v>
      </c>
      <c r="L137" s="1" t="s">
        <v>154</v>
      </c>
      <c r="M137" s="18">
        <v>62000000</v>
      </c>
      <c r="N137" s="18">
        <v>63000000</v>
      </c>
      <c r="O137" s="18">
        <f t="shared" si="0"/>
        <v>1.0161290322580645</v>
      </c>
      <c r="P137" s="19">
        <f t="shared" si="1"/>
        <v>101.61290322580645</v>
      </c>
      <c r="Q137" s="1" t="s">
        <v>448</v>
      </c>
      <c r="R137" s="1" t="s">
        <v>481</v>
      </c>
    </row>
    <row r="138" spans="1:18" ht="15" customHeight="1" x14ac:dyDescent="0.35">
      <c r="A138" s="1">
        <v>37</v>
      </c>
      <c r="B138" s="1" t="s">
        <v>478</v>
      </c>
      <c r="C138" s="1" t="s">
        <v>323</v>
      </c>
      <c r="D138" s="1">
        <v>2026</v>
      </c>
      <c r="E138" s="1" t="s">
        <v>479</v>
      </c>
      <c r="F138" s="1" t="s">
        <v>417</v>
      </c>
      <c r="G138" s="1" t="s">
        <v>327</v>
      </c>
      <c r="H138" s="1" t="b">
        <f>TRUE()</f>
        <v>1</v>
      </c>
      <c r="I138" s="17">
        <v>12</v>
      </c>
      <c r="J138" s="1" t="s">
        <v>428</v>
      </c>
      <c r="K138" s="1" t="s">
        <v>329</v>
      </c>
      <c r="L138" s="1" t="s">
        <v>154</v>
      </c>
      <c r="M138" s="18">
        <v>25000000</v>
      </c>
      <c r="N138" s="18">
        <v>63000000</v>
      </c>
      <c r="O138" s="18">
        <f t="shared" si="0"/>
        <v>2.52</v>
      </c>
      <c r="P138" s="19">
        <f t="shared" si="1"/>
        <v>252</v>
      </c>
      <c r="Q138" s="1" t="s">
        <v>448</v>
      </c>
      <c r="R138" s="1" t="s">
        <v>481</v>
      </c>
    </row>
    <row r="139" spans="1:18" ht="15" customHeight="1" x14ac:dyDescent="0.35">
      <c r="A139" s="1">
        <v>37</v>
      </c>
      <c r="B139" s="1" t="s">
        <v>478</v>
      </c>
      <c r="C139" s="1" t="s">
        <v>323</v>
      </c>
      <c r="D139" s="1">
        <v>2026</v>
      </c>
      <c r="E139" s="1" t="s">
        <v>479</v>
      </c>
      <c r="F139" s="1" t="s">
        <v>417</v>
      </c>
      <c r="G139" s="1" t="s">
        <v>327</v>
      </c>
      <c r="H139" s="1" t="b">
        <f>TRUE()</f>
        <v>1</v>
      </c>
      <c r="I139" s="17">
        <v>24</v>
      </c>
      <c r="J139" s="1" t="s">
        <v>428</v>
      </c>
      <c r="K139" s="1" t="s">
        <v>329</v>
      </c>
      <c r="L139" s="1" t="s">
        <v>154</v>
      </c>
      <c r="M139" s="18">
        <v>41000000</v>
      </c>
      <c r="N139" s="18">
        <v>21000000</v>
      </c>
      <c r="O139" s="18">
        <f t="shared" si="0"/>
        <v>0.51219512195121952</v>
      </c>
      <c r="P139" s="19">
        <f t="shared" si="1"/>
        <v>51.219512195121951</v>
      </c>
      <c r="Q139" s="1" t="s">
        <v>448</v>
      </c>
      <c r="R139" s="1" t="s">
        <v>481</v>
      </c>
    </row>
    <row r="140" spans="1:18" ht="15" customHeight="1" x14ac:dyDescent="0.35">
      <c r="A140" s="1">
        <v>37</v>
      </c>
      <c r="B140" s="1" t="s">
        <v>478</v>
      </c>
      <c r="C140" s="1" t="s">
        <v>323</v>
      </c>
      <c r="D140" s="1">
        <v>2026</v>
      </c>
      <c r="E140" s="1" t="s">
        <v>479</v>
      </c>
      <c r="F140" s="1" t="s">
        <v>417</v>
      </c>
      <c r="G140" s="1" t="s">
        <v>327</v>
      </c>
      <c r="H140" s="1" t="b">
        <f>TRUE()</f>
        <v>1</v>
      </c>
      <c r="I140" s="17">
        <v>48</v>
      </c>
      <c r="J140" s="1" t="s">
        <v>428</v>
      </c>
      <c r="K140" s="1" t="s">
        <v>329</v>
      </c>
      <c r="L140" s="1" t="s">
        <v>154</v>
      </c>
      <c r="M140" s="18">
        <v>22000000</v>
      </c>
      <c r="N140" s="18">
        <v>13000000</v>
      </c>
      <c r="O140" s="18">
        <f t="shared" si="0"/>
        <v>0.59090909090909094</v>
      </c>
      <c r="P140" s="19">
        <f t="shared" si="1"/>
        <v>59.090909090909093</v>
      </c>
      <c r="Q140" s="1" t="s">
        <v>448</v>
      </c>
      <c r="R140" s="1" t="s">
        <v>481</v>
      </c>
    </row>
    <row r="141" spans="1:18" ht="15" customHeight="1" x14ac:dyDescent="0.35">
      <c r="A141" s="1">
        <v>37</v>
      </c>
      <c r="B141" s="1" t="s">
        <v>478</v>
      </c>
      <c r="C141" s="1" t="s">
        <v>323</v>
      </c>
      <c r="D141" s="1">
        <v>2026</v>
      </c>
      <c r="E141" s="1" t="s">
        <v>479</v>
      </c>
      <c r="F141" s="1" t="s">
        <v>417</v>
      </c>
      <c r="G141" s="1" t="s">
        <v>327</v>
      </c>
      <c r="H141" s="1" t="b">
        <f>TRUE()</f>
        <v>1</v>
      </c>
      <c r="I141" s="17">
        <v>72</v>
      </c>
      <c r="J141" s="1" t="s">
        <v>428</v>
      </c>
      <c r="K141" s="1" t="s">
        <v>329</v>
      </c>
      <c r="L141" s="1" t="s">
        <v>154</v>
      </c>
      <c r="M141" s="18">
        <v>6000000</v>
      </c>
      <c r="N141" s="18">
        <v>4500000</v>
      </c>
      <c r="O141" s="18">
        <f t="shared" si="0"/>
        <v>0.75</v>
      </c>
      <c r="P141" s="19">
        <f t="shared" si="1"/>
        <v>75</v>
      </c>
      <c r="Q141" s="1" t="s">
        <v>448</v>
      </c>
      <c r="R141" s="1" t="s">
        <v>481</v>
      </c>
    </row>
    <row r="142" spans="1:18" ht="15" customHeight="1" x14ac:dyDescent="0.35">
      <c r="A142" s="1">
        <v>37</v>
      </c>
      <c r="B142" s="1" t="s">
        <v>478</v>
      </c>
      <c r="C142" s="1" t="s">
        <v>323</v>
      </c>
      <c r="D142" s="1">
        <v>2026</v>
      </c>
      <c r="E142" s="1" t="s">
        <v>479</v>
      </c>
      <c r="F142" s="1" t="s">
        <v>417</v>
      </c>
      <c r="G142" s="1" t="s">
        <v>327</v>
      </c>
      <c r="H142" s="1" t="b">
        <f>TRUE()</f>
        <v>1</v>
      </c>
      <c r="I142" s="17">
        <v>96</v>
      </c>
      <c r="J142" s="1" t="s">
        <v>428</v>
      </c>
      <c r="K142" s="1" t="s">
        <v>329</v>
      </c>
      <c r="L142" s="1" t="s">
        <v>154</v>
      </c>
      <c r="M142" s="18">
        <v>16000000</v>
      </c>
      <c r="N142" s="18">
        <v>36000000</v>
      </c>
      <c r="O142" s="18">
        <f t="shared" si="0"/>
        <v>2.25</v>
      </c>
      <c r="P142" s="19">
        <f t="shared" si="1"/>
        <v>225</v>
      </c>
      <c r="Q142" s="1" t="s">
        <v>448</v>
      </c>
      <c r="R142" s="1" t="s">
        <v>481</v>
      </c>
    </row>
    <row r="143" spans="1:18" ht="15" customHeight="1" x14ac:dyDescent="0.35">
      <c r="A143" s="1">
        <v>38</v>
      </c>
      <c r="B143" s="1" t="s">
        <v>482</v>
      </c>
      <c r="C143" s="1" t="s">
        <v>42</v>
      </c>
      <c r="D143" s="1">
        <v>2025</v>
      </c>
      <c r="E143" s="1" t="s">
        <v>483</v>
      </c>
      <c r="F143" s="1" t="s">
        <v>45</v>
      </c>
      <c r="G143" s="1" t="s">
        <v>334</v>
      </c>
      <c r="H143" s="1" t="b">
        <f>TRUE()</f>
        <v>1</v>
      </c>
      <c r="I143" s="17">
        <v>3</v>
      </c>
      <c r="J143" s="1" t="s">
        <v>419</v>
      </c>
      <c r="K143" s="1" t="s">
        <v>336</v>
      </c>
      <c r="L143" s="1" t="s">
        <v>29</v>
      </c>
      <c r="M143" s="18">
        <v>1</v>
      </c>
      <c r="N143" s="18">
        <v>0.37</v>
      </c>
      <c r="O143" s="18">
        <f t="shared" si="0"/>
        <v>0.37</v>
      </c>
      <c r="P143" s="19">
        <f t="shared" si="1"/>
        <v>37</v>
      </c>
      <c r="Q143" s="1" t="s">
        <v>420</v>
      </c>
      <c r="R143" s="1" t="s">
        <v>484</v>
      </c>
    </row>
    <row r="144" spans="1:18" ht="15" customHeight="1" x14ac:dyDescent="0.35">
      <c r="A144" s="1">
        <v>38</v>
      </c>
      <c r="B144" s="1" t="s">
        <v>482</v>
      </c>
      <c r="C144" s="1" t="s">
        <v>42</v>
      </c>
      <c r="D144" s="1">
        <v>2025</v>
      </c>
      <c r="E144" s="1" t="s">
        <v>483</v>
      </c>
      <c r="F144" s="1" t="s">
        <v>45</v>
      </c>
      <c r="G144" s="1" t="s">
        <v>334</v>
      </c>
      <c r="H144" s="1" t="b">
        <f>TRUE()</f>
        <v>1</v>
      </c>
      <c r="I144" s="17">
        <v>5</v>
      </c>
      <c r="J144" s="1" t="s">
        <v>419</v>
      </c>
      <c r="K144" s="1" t="s">
        <v>336</v>
      </c>
      <c r="L144" s="1" t="s">
        <v>29</v>
      </c>
      <c r="M144" s="18">
        <v>1</v>
      </c>
      <c r="N144" s="18">
        <v>0.43</v>
      </c>
      <c r="O144" s="18">
        <f t="shared" si="0"/>
        <v>0.43</v>
      </c>
      <c r="P144" s="19">
        <f t="shared" si="1"/>
        <v>43</v>
      </c>
      <c r="Q144" s="1" t="s">
        <v>420</v>
      </c>
      <c r="R144" s="1" t="s">
        <v>484</v>
      </c>
    </row>
    <row r="145" spans="1:18" ht="15" customHeight="1" x14ac:dyDescent="0.35">
      <c r="A145" s="1">
        <v>38</v>
      </c>
      <c r="B145" s="1" t="s">
        <v>482</v>
      </c>
      <c r="C145" s="1" t="s">
        <v>42</v>
      </c>
      <c r="D145" s="1">
        <v>2025</v>
      </c>
      <c r="E145" s="1" t="s">
        <v>483</v>
      </c>
      <c r="F145" s="1" t="s">
        <v>45</v>
      </c>
      <c r="G145" s="1" t="s">
        <v>334</v>
      </c>
      <c r="H145" s="1" t="b">
        <f>TRUE()</f>
        <v>1</v>
      </c>
      <c r="I145" s="17">
        <v>3</v>
      </c>
      <c r="J145" s="1" t="s">
        <v>447</v>
      </c>
      <c r="K145" s="1" t="s">
        <v>336</v>
      </c>
      <c r="L145" s="1" t="s">
        <v>121</v>
      </c>
      <c r="M145" s="18">
        <v>100000</v>
      </c>
      <c r="N145" s="18">
        <v>55000</v>
      </c>
      <c r="O145" s="18">
        <f t="shared" si="0"/>
        <v>0.55000000000000004</v>
      </c>
      <c r="P145" s="19">
        <f t="shared" si="1"/>
        <v>55.000000000000007</v>
      </c>
      <c r="Q145" s="1" t="s">
        <v>448</v>
      </c>
      <c r="R145" s="1" t="s">
        <v>697</v>
      </c>
    </row>
    <row r="146" spans="1:18" ht="15" customHeight="1" x14ac:dyDescent="0.35">
      <c r="A146" s="1">
        <v>38</v>
      </c>
      <c r="B146" s="1" t="s">
        <v>482</v>
      </c>
      <c r="C146" s="1" t="s">
        <v>42</v>
      </c>
      <c r="D146" s="1">
        <v>2025</v>
      </c>
      <c r="E146" s="1" t="s">
        <v>483</v>
      </c>
      <c r="F146" s="1" t="s">
        <v>45</v>
      </c>
      <c r="G146" s="1" t="s">
        <v>334</v>
      </c>
      <c r="H146" s="1" t="b">
        <f>TRUE()</f>
        <v>1</v>
      </c>
      <c r="I146" s="17">
        <v>5</v>
      </c>
      <c r="J146" s="1" t="s">
        <v>447</v>
      </c>
      <c r="K146" s="1" t="s">
        <v>336</v>
      </c>
      <c r="L146" s="1" t="s">
        <v>121</v>
      </c>
      <c r="M146" s="18">
        <v>180000</v>
      </c>
      <c r="N146" s="18">
        <v>82000</v>
      </c>
      <c r="O146" s="18">
        <f t="shared" si="0"/>
        <v>0.45555555555555555</v>
      </c>
      <c r="P146" s="19">
        <f t="shared" si="1"/>
        <v>45.555555555555557</v>
      </c>
      <c r="Q146" s="1" t="s">
        <v>448</v>
      </c>
      <c r="R146" s="1" t="s">
        <v>697</v>
      </c>
    </row>
    <row r="147" spans="1:18" ht="15" customHeight="1" x14ac:dyDescent="0.35">
      <c r="A147" s="1">
        <v>39</v>
      </c>
      <c r="B147" s="1" t="s">
        <v>485</v>
      </c>
      <c r="C147" s="1" t="s">
        <v>340</v>
      </c>
      <c r="D147" s="1">
        <v>2025</v>
      </c>
      <c r="E147" s="1" t="s">
        <v>486</v>
      </c>
      <c r="F147" s="1" t="s">
        <v>45</v>
      </c>
      <c r="G147" s="1" t="s">
        <v>487</v>
      </c>
      <c r="H147" s="1" t="b">
        <f>TRUE()</f>
        <v>1</v>
      </c>
      <c r="I147" s="17">
        <v>24</v>
      </c>
      <c r="J147" s="1" t="s">
        <v>419</v>
      </c>
      <c r="K147" s="1" t="s">
        <v>345</v>
      </c>
      <c r="L147" s="1" t="s">
        <v>29</v>
      </c>
      <c r="M147" s="18">
        <v>1</v>
      </c>
      <c r="N147" s="18">
        <v>160</v>
      </c>
      <c r="O147" s="18">
        <f t="shared" si="0"/>
        <v>160</v>
      </c>
      <c r="P147" s="19">
        <f t="shared" si="1"/>
        <v>16000</v>
      </c>
      <c r="Q147" s="1" t="s">
        <v>420</v>
      </c>
      <c r="R147" s="1" t="s">
        <v>488</v>
      </c>
    </row>
    <row r="148" spans="1:18" ht="15" customHeight="1" x14ac:dyDescent="0.35">
      <c r="A148" s="1">
        <v>39</v>
      </c>
      <c r="B148" s="1" t="s">
        <v>485</v>
      </c>
      <c r="C148" s="1" t="s">
        <v>340</v>
      </c>
      <c r="D148" s="1">
        <v>2025</v>
      </c>
      <c r="E148" s="1" t="s">
        <v>486</v>
      </c>
      <c r="F148" s="1" t="s">
        <v>45</v>
      </c>
      <c r="G148" s="1" t="s">
        <v>487</v>
      </c>
      <c r="H148" s="1" t="b">
        <f>TRUE()</f>
        <v>1</v>
      </c>
      <c r="I148" s="17">
        <v>48</v>
      </c>
      <c r="J148" s="1" t="s">
        <v>419</v>
      </c>
      <c r="K148" s="1" t="s">
        <v>345</v>
      </c>
      <c r="L148" s="1" t="s">
        <v>29</v>
      </c>
      <c r="M148" s="18">
        <v>1.02</v>
      </c>
      <c r="N148" s="18">
        <v>0.02</v>
      </c>
      <c r="O148" s="18">
        <f t="shared" si="0"/>
        <v>1.9607843137254902E-2</v>
      </c>
      <c r="P148" s="19">
        <f t="shared" si="1"/>
        <v>1.9607843137254901</v>
      </c>
      <c r="Q148" s="1" t="s">
        <v>420</v>
      </c>
      <c r="R148" s="1" t="s">
        <v>488</v>
      </c>
    </row>
    <row r="149" spans="1:18" ht="15" customHeight="1" x14ac:dyDescent="0.35">
      <c r="A149" s="1">
        <v>39</v>
      </c>
      <c r="B149" s="1" t="s">
        <v>485</v>
      </c>
      <c r="C149" s="1" t="s">
        <v>340</v>
      </c>
      <c r="D149" s="1">
        <v>2025</v>
      </c>
      <c r="E149" s="1" t="s">
        <v>486</v>
      </c>
      <c r="F149" s="1" t="s">
        <v>45</v>
      </c>
      <c r="G149" s="1" t="s">
        <v>487</v>
      </c>
      <c r="H149" s="1" t="b">
        <f>TRUE()</f>
        <v>1</v>
      </c>
      <c r="I149" s="17">
        <v>72</v>
      </c>
      <c r="J149" s="1" t="s">
        <v>419</v>
      </c>
      <c r="K149" s="1" t="s">
        <v>345</v>
      </c>
      <c r="L149" s="1" t="s">
        <v>29</v>
      </c>
      <c r="M149" s="18">
        <v>1.03</v>
      </c>
      <c r="N149" s="18">
        <v>0.01</v>
      </c>
      <c r="O149" s="18">
        <f t="shared" si="0"/>
        <v>9.7087378640776691E-3</v>
      </c>
      <c r="P149" s="19">
        <f t="shared" si="1"/>
        <v>0.97087378640776689</v>
      </c>
      <c r="Q149" s="1" t="s">
        <v>420</v>
      </c>
      <c r="R149" s="1" t="s">
        <v>488</v>
      </c>
    </row>
    <row r="150" spans="1:18" ht="15" customHeight="1" x14ac:dyDescent="0.35">
      <c r="A150" s="1">
        <v>39</v>
      </c>
      <c r="B150" s="1" t="s">
        <v>485</v>
      </c>
      <c r="C150" s="1" t="s">
        <v>340</v>
      </c>
      <c r="D150" s="1">
        <v>2025</v>
      </c>
      <c r="E150" s="1" t="s">
        <v>486</v>
      </c>
      <c r="F150" s="1" t="s">
        <v>45</v>
      </c>
      <c r="G150" s="1" t="s">
        <v>487</v>
      </c>
      <c r="H150" s="1" t="b">
        <f>TRUE()</f>
        <v>1</v>
      </c>
      <c r="I150" s="17">
        <v>96</v>
      </c>
      <c r="J150" s="1" t="s">
        <v>419</v>
      </c>
      <c r="K150" s="1" t="s">
        <v>345</v>
      </c>
      <c r="L150" s="1" t="s">
        <v>29</v>
      </c>
      <c r="M150" s="18">
        <v>0.95</v>
      </c>
      <c r="N150" s="18">
        <v>5.0000000000000002E-5</v>
      </c>
      <c r="O150" s="18">
        <f t="shared" si="0"/>
        <v>5.2631578947368424E-5</v>
      </c>
      <c r="P150" s="19">
        <f t="shared" si="1"/>
        <v>5.263157894736842E-3</v>
      </c>
      <c r="Q150" s="1" t="s">
        <v>420</v>
      </c>
      <c r="R150" s="1" t="s">
        <v>488</v>
      </c>
    </row>
    <row r="151" spans="1:18" ht="15" customHeight="1" x14ac:dyDescent="0.35">
      <c r="A151" s="1">
        <v>39</v>
      </c>
      <c r="B151" s="1" t="s">
        <v>485</v>
      </c>
      <c r="C151" s="1" t="s">
        <v>340</v>
      </c>
      <c r="D151" s="1">
        <v>2025</v>
      </c>
      <c r="E151" s="1" t="s">
        <v>486</v>
      </c>
      <c r="F151" s="1" t="s">
        <v>45</v>
      </c>
      <c r="G151" s="1" t="s">
        <v>489</v>
      </c>
      <c r="H151" s="1" t="b">
        <f>FALSE()</f>
        <v>0</v>
      </c>
      <c r="I151" s="17">
        <v>24</v>
      </c>
      <c r="J151" s="1" t="s">
        <v>419</v>
      </c>
      <c r="K151" s="1" t="s">
        <v>345</v>
      </c>
      <c r="L151" s="1" t="s">
        <v>29</v>
      </c>
      <c r="M151" s="18">
        <v>1</v>
      </c>
      <c r="N151" s="18">
        <v>17</v>
      </c>
      <c r="O151" s="18">
        <f t="shared" si="0"/>
        <v>17</v>
      </c>
      <c r="P151" s="19">
        <f t="shared" si="1"/>
        <v>1700</v>
      </c>
      <c r="Q151" s="1" t="s">
        <v>420</v>
      </c>
      <c r="R151" s="1" t="s">
        <v>490</v>
      </c>
    </row>
    <row r="152" spans="1:18" ht="15" customHeight="1" x14ac:dyDescent="0.35">
      <c r="A152" s="1">
        <v>39</v>
      </c>
      <c r="B152" s="1" t="s">
        <v>485</v>
      </c>
      <c r="C152" s="1" t="s">
        <v>340</v>
      </c>
      <c r="D152" s="1">
        <v>2025</v>
      </c>
      <c r="E152" s="1" t="s">
        <v>486</v>
      </c>
      <c r="F152" s="1" t="s">
        <v>45</v>
      </c>
      <c r="G152" s="1" t="s">
        <v>489</v>
      </c>
      <c r="H152" s="1" t="b">
        <f>FALSE()</f>
        <v>0</v>
      </c>
      <c r="I152" s="17">
        <v>48</v>
      </c>
      <c r="J152" s="1" t="s">
        <v>419</v>
      </c>
      <c r="K152" s="1" t="s">
        <v>345</v>
      </c>
      <c r="L152" s="1" t="s">
        <v>29</v>
      </c>
      <c r="M152" s="18">
        <v>1.05</v>
      </c>
      <c r="N152" s="18">
        <v>0.16</v>
      </c>
      <c r="O152" s="18">
        <f t="shared" si="0"/>
        <v>0.15238095238095237</v>
      </c>
      <c r="P152" s="19">
        <f t="shared" si="1"/>
        <v>15.238095238095237</v>
      </c>
      <c r="Q152" s="1" t="s">
        <v>420</v>
      </c>
      <c r="R152" s="1" t="s">
        <v>490</v>
      </c>
    </row>
    <row r="153" spans="1:18" ht="15" customHeight="1" x14ac:dyDescent="0.35">
      <c r="A153" s="1">
        <v>39</v>
      </c>
      <c r="B153" s="1" t="s">
        <v>485</v>
      </c>
      <c r="C153" s="1" t="s">
        <v>340</v>
      </c>
      <c r="D153" s="1">
        <v>2025</v>
      </c>
      <c r="E153" s="1" t="s">
        <v>486</v>
      </c>
      <c r="F153" s="1" t="s">
        <v>45</v>
      </c>
      <c r="G153" s="1" t="s">
        <v>489</v>
      </c>
      <c r="H153" s="1" t="b">
        <f>FALSE()</f>
        <v>0</v>
      </c>
      <c r="I153" s="17">
        <v>72</v>
      </c>
      <c r="J153" s="1" t="s">
        <v>419</v>
      </c>
      <c r="K153" s="1" t="s">
        <v>345</v>
      </c>
      <c r="L153" s="1" t="s">
        <v>29</v>
      </c>
      <c r="M153" s="18">
        <v>1.02</v>
      </c>
      <c r="N153" s="18">
        <v>3.0000000000000001E-3</v>
      </c>
      <c r="O153" s="18">
        <f t="shared" ref="O153:O216" si="2">N153/M153</f>
        <v>2.9411764705882353E-3</v>
      </c>
      <c r="P153" s="19">
        <f t="shared" ref="P153:P216" si="3">O153*100</f>
        <v>0.29411764705882354</v>
      </c>
      <c r="Q153" s="1" t="s">
        <v>420</v>
      </c>
      <c r="R153" s="1" t="s">
        <v>490</v>
      </c>
    </row>
    <row r="154" spans="1:18" ht="15" customHeight="1" x14ac:dyDescent="0.35">
      <c r="A154" s="1">
        <v>39</v>
      </c>
      <c r="B154" s="1" t="s">
        <v>485</v>
      </c>
      <c r="C154" s="1" t="s">
        <v>340</v>
      </c>
      <c r="D154" s="1">
        <v>2025</v>
      </c>
      <c r="E154" s="1" t="s">
        <v>486</v>
      </c>
      <c r="F154" s="1" t="s">
        <v>45</v>
      </c>
      <c r="G154" s="1" t="s">
        <v>489</v>
      </c>
      <c r="H154" s="1" t="b">
        <f>FALSE()</f>
        <v>0</v>
      </c>
      <c r="I154" s="17">
        <v>96</v>
      </c>
      <c r="J154" s="1" t="s">
        <v>419</v>
      </c>
      <c r="K154" s="1" t="s">
        <v>345</v>
      </c>
      <c r="L154" s="1" t="s">
        <v>29</v>
      </c>
      <c r="M154" s="18">
        <v>0.96</v>
      </c>
      <c r="N154" s="18">
        <v>1.5E-5</v>
      </c>
      <c r="O154" s="18">
        <f t="shared" si="2"/>
        <v>1.5625E-5</v>
      </c>
      <c r="P154" s="19">
        <f t="shared" si="3"/>
        <v>1.5625000000000001E-3</v>
      </c>
      <c r="Q154" s="1" t="s">
        <v>420</v>
      </c>
      <c r="R154" s="1" t="s">
        <v>490</v>
      </c>
    </row>
    <row r="155" spans="1:18" ht="15" customHeight="1" x14ac:dyDescent="0.35">
      <c r="A155" s="1">
        <v>39</v>
      </c>
      <c r="B155" s="1" t="s">
        <v>485</v>
      </c>
      <c r="C155" s="1" t="s">
        <v>340</v>
      </c>
      <c r="D155" s="1">
        <v>2025</v>
      </c>
      <c r="E155" s="1" t="s">
        <v>486</v>
      </c>
      <c r="F155" s="1" t="s">
        <v>45</v>
      </c>
      <c r="G155" s="1" t="s">
        <v>368</v>
      </c>
      <c r="H155" s="1" t="b">
        <f>FALSE()</f>
        <v>0</v>
      </c>
      <c r="I155" s="17">
        <v>24</v>
      </c>
      <c r="J155" s="1" t="s">
        <v>419</v>
      </c>
      <c r="K155" s="1" t="s">
        <v>345</v>
      </c>
      <c r="L155" s="1" t="s">
        <v>29</v>
      </c>
      <c r="M155" s="18">
        <v>1</v>
      </c>
      <c r="N155" s="18">
        <v>10</v>
      </c>
      <c r="O155" s="18">
        <f t="shared" si="2"/>
        <v>10</v>
      </c>
      <c r="P155" s="19">
        <f t="shared" si="3"/>
        <v>1000</v>
      </c>
      <c r="Q155" s="1" t="s">
        <v>420</v>
      </c>
      <c r="R155" s="1" t="s">
        <v>491</v>
      </c>
    </row>
    <row r="156" spans="1:18" ht="15" customHeight="1" x14ac:dyDescent="0.35">
      <c r="A156" s="1">
        <v>39</v>
      </c>
      <c r="B156" s="1" t="s">
        <v>485</v>
      </c>
      <c r="C156" s="1" t="s">
        <v>340</v>
      </c>
      <c r="D156" s="1">
        <v>2025</v>
      </c>
      <c r="E156" s="1" t="s">
        <v>486</v>
      </c>
      <c r="F156" s="1" t="s">
        <v>45</v>
      </c>
      <c r="G156" s="1" t="s">
        <v>368</v>
      </c>
      <c r="H156" s="1" t="b">
        <f>FALSE()</f>
        <v>0</v>
      </c>
      <c r="I156" s="17">
        <v>48</v>
      </c>
      <c r="J156" s="1" t="s">
        <v>419</v>
      </c>
      <c r="K156" s="1" t="s">
        <v>345</v>
      </c>
      <c r="L156" s="1" t="s">
        <v>29</v>
      </c>
      <c r="M156" s="18">
        <v>1.04</v>
      </c>
      <c r="N156" s="18">
        <v>0.18</v>
      </c>
      <c r="O156" s="18">
        <f t="shared" si="2"/>
        <v>0.17307692307692307</v>
      </c>
      <c r="P156" s="19">
        <f t="shared" si="3"/>
        <v>17.307692307692307</v>
      </c>
      <c r="Q156" s="1" t="s">
        <v>420</v>
      </c>
      <c r="R156" s="1" t="s">
        <v>491</v>
      </c>
    </row>
    <row r="157" spans="1:18" ht="15" customHeight="1" x14ac:dyDescent="0.35">
      <c r="A157" s="1">
        <v>39</v>
      </c>
      <c r="B157" s="1" t="s">
        <v>485</v>
      </c>
      <c r="C157" s="1" t="s">
        <v>340</v>
      </c>
      <c r="D157" s="1">
        <v>2025</v>
      </c>
      <c r="E157" s="1" t="s">
        <v>486</v>
      </c>
      <c r="F157" s="1" t="s">
        <v>45</v>
      </c>
      <c r="G157" s="1" t="s">
        <v>368</v>
      </c>
      <c r="H157" s="1" t="b">
        <f>FALSE()</f>
        <v>0</v>
      </c>
      <c r="I157" s="17">
        <v>72</v>
      </c>
      <c r="J157" s="1" t="s">
        <v>419</v>
      </c>
      <c r="K157" s="1" t="s">
        <v>345</v>
      </c>
      <c r="L157" s="1" t="s">
        <v>29</v>
      </c>
      <c r="M157" s="18">
        <v>1</v>
      </c>
      <c r="N157" s="18">
        <v>2.7E-2</v>
      </c>
      <c r="O157" s="18">
        <f t="shared" si="2"/>
        <v>2.7E-2</v>
      </c>
      <c r="P157" s="19">
        <f t="shared" si="3"/>
        <v>2.7</v>
      </c>
      <c r="Q157" s="1" t="s">
        <v>420</v>
      </c>
      <c r="R157" s="1" t="s">
        <v>491</v>
      </c>
    </row>
    <row r="158" spans="1:18" ht="15" customHeight="1" x14ac:dyDescent="0.35">
      <c r="A158" s="1">
        <v>39</v>
      </c>
      <c r="B158" s="1" t="s">
        <v>485</v>
      </c>
      <c r="C158" s="1" t="s">
        <v>340</v>
      </c>
      <c r="D158" s="1">
        <v>2025</v>
      </c>
      <c r="E158" s="1" t="s">
        <v>486</v>
      </c>
      <c r="F158" s="1" t="s">
        <v>45</v>
      </c>
      <c r="G158" s="1" t="s">
        <v>368</v>
      </c>
      <c r="H158" s="1" t="b">
        <f>FALSE()</f>
        <v>0</v>
      </c>
      <c r="I158" s="17">
        <v>96</v>
      </c>
      <c r="J158" s="1" t="s">
        <v>419</v>
      </c>
      <c r="K158" s="1" t="s">
        <v>345</v>
      </c>
      <c r="L158" s="1" t="s">
        <v>29</v>
      </c>
      <c r="M158" s="18">
        <v>0.97</v>
      </c>
      <c r="N158" s="18">
        <v>9.0000000000000006E-5</v>
      </c>
      <c r="O158" s="18">
        <f t="shared" si="2"/>
        <v>9.2783505154639184E-5</v>
      </c>
      <c r="P158" s="19">
        <f t="shared" si="3"/>
        <v>9.2783505154639193E-3</v>
      </c>
      <c r="Q158" s="1" t="s">
        <v>420</v>
      </c>
      <c r="R158" s="1" t="s">
        <v>491</v>
      </c>
    </row>
    <row r="159" spans="1:18" ht="15" customHeight="1" x14ac:dyDescent="0.35">
      <c r="A159" s="1">
        <v>39</v>
      </c>
      <c r="B159" s="1" t="s">
        <v>485</v>
      </c>
      <c r="C159" s="1" t="s">
        <v>340</v>
      </c>
      <c r="D159" s="1">
        <v>2025</v>
      </c>
      <c r="E159" s="1" t="s">
        <v>486</v>
      </c>
      <c r="F159" s="1" t="s">
        <v>45</v>
      </c>
      <c r="G159" s="1" t="s">
        <v>492</v>
      </c>
      <c r="H159" s="1" t="b">
        <f>FALSE()</f>
        <v>0</v>
      </c>
      <c r="I159" s="17">
        <v>24</v>
      </c>
      <c r="J159" s="1" t="s">
        <v>419</v>
      </c>
      <c r="K159" s="1" t="s">
        <v>345</v>
      </c>
      <c r="L159" s="1" t="s">
        <v>29</v>
      </c>
      <c r="M159" s="18">
        <v>1</v>
      </c>
      <c r="N159" s="18">
        <v>5</v>
      </c>
      <c r="O159" s="18">
        <f t="shared" si="2"/>
        <v>5</v>
      </c>
      <c r="P159" s="19">
        <f t="shared" si="3"/>
        <v>500</v>
      </c>
      <c r="Q159" s="1" t="s">
        <v>420</v>
      </c>
      <c r="R159" s="1" t="s">
        <v>493</v>
      </c>
    </row>
    <row r="160" spans="1:18" ht="15" customHeight="1" x14ac:dyDescent="0.35">
      <c r="A160" s="1">
        <v>39</v>
      </c>
      <c r="B160" s="1" t="s">
        <v>485</v>
      </c>
      <c r="C160" s="1" t="s">
        <v>340</v>
      </c>
      <c r="D160" s="1">
        <v>2025</v>
      </c>
      <c r="E160" s="1" t="s">
        <v>486</v>
      </c>
      <c r="F160" s="1" t="s">
        <v>45</v>
      </c>
      <c r="G160" s="1" t="s">
        <v>492</v>
      </c>
      <c r="H160" s="1" t="b">
        <f>FALSE()</f>
        <v>0</v>
      </c>
      <c r="I160" s="17">
        <v>48</v>
      </c>
      <c r="J160" s="1" t="s">
        <v>419</v>
      </c>
      <c r="K160" s="1" t="s">
        <v>345</v>
      </c>
      <c r="L160" s="1" t="s">
        <v>29</v>
      </c>
      <c r="M160" s="18">
        <v>1.08</v>
      </c>
      <c r="N160" s="18">
        <v>0.26</v>
      </c>
      <c r="O160" s="18">
        <f t="shared" si="2"/>
        <v>0.24074074074074073</v>
      </c>
      <c r="P160" s="19">
        <f t="shared" si="3"/>
        <v>24.074074074074073</v>
      </c>
      <c r="Q160" s="1" t="s">
        <v>420</v>
      </c>
      <c r="R160" s="1" t="s">
        <v>493</v>
      </c>
    </row>
    <row r="161" spans="1:18" ht="15" customHeight="1" x14ac:dyDescent="0.35">
      <c r="A161" s="1">
        <v>39</v>
      </c>
      <c r="B161" s="1" t="s">
        <v>485</v>
      </c>
      <c r="C161" s="1" t="s">
        <v>340</v>
      </c>
      <c r="D161" s="1">
        <v>2025</v>
      </c>
      <c r="E161" s="1" t="s">
        <v>486</v>
      </c>
      <c r="F161" s="1" t="s">
        <v>45</v>
      </c>
      <c r="G161" s="1" t="s">
        <v>492</v>
      </c>
      <c r="H161" s="1" t="b">
        <f>FALSE()</f>
        <v>0</v>
      </c>
      <c r="I161" s="17">
        <v>72</v>
      </c>
      <c r="J161" s="1" t="s">
        <v>419</v>
      </c>
      <c r="K161" s="1" t="s">
        <v>345</v>
      </c>
      <c r="L161" s="1" t="s">
        <v>29</v>
      </c>
      <c r="M161" s="18">
        <v>1.03</v>
      </c>
      <c r="N161" s="18">
        <v>3.3000000000000002E-2</v>
      </c>
      <c r="O161" s="18">
        <f t="shared" si="2"/>
        <v>3.2038834951456312E-2</v>
      </c>
      <c r="P161" s="19">
        <f t="shared" si="3"/>
        <v>3.203883495145631</v>
      </c>
      <c r="Q161" s="1" t="s">
        <v>420</v>
      </c>
      <c r="R161" s="1" t="s">
        <v>493</v>
      </c>
    </row>
    <row r="162" spans="1:18" ht="15" customHeight="1" x14ac:dyDescent="0.35">
      <c r="A162" s="1">
        <v>39</v>
      </c>
      <c r="B162" s="1" t="s">
        <v>485</v>
      </c>
      <c r="C162" s="1" t="s">
        <v>340</v>
      </c>
      <c r="D162" s="1">
        <v>2025</v>
      </c>
      <c r="E162" s="1" t="s">
        <v>486</v>
      </c>
      <c r="F162" s="1" t="s">
        <v>45</v>
      </c>
      <c r="G162" s="1" t="s">
        <v>492</v>
      </c>
      <c r="H162" s="1" t="b">
        <f>FALSE()</f>
        <v>0</v>
      </c>
      <c r="I162" s="17">
        <v>96</v>
      </c>
      <c r="J162" s="1" t="s">
        <v>419</v>
      </c>
      <c r="K162" s="1" t="s">
        <v>345</v>
      </c>
      <c r="L162" s="1" t="s">
        <v>29</v>
      </c>
      <c r="M162" s="18">
        <v>0.98</v>
      </c>
      <c r="N162" s="18">
        <v>0.68</v>
      </c>
      <c r="O162" s="18">
        <f t="shared" si="2"/>
        <v>0.69387755102040827</v>
      </c>
      <c r="P162" s="19">
        <f t="shared" si="3"/>
        <v>69.387755102040828</v>
      </c>
      <c r="Q162" s="1" t="s">
        <v>420</v>
      </c>
      <c r="R162" s="1" t="s">
        <v>493</v>
      </c>
    </row>
    <row r="163" spans="1:18" ht="15" customHeight="1" x14ac:dyDescent="0.35">
      <c r="A163" s="1">
        <v>39</v>
      </c>
      <c r="B163" s="1" t="s">
        <v>485</v>
      </c>
      <c r="C163" s="1" t="s">
        <v>340</v>
      </c>
      <c r="D163" s="1">
        <v>2025</v>
      </c>
      <c r="E163" s="1" t="s">
        <v>486</v>
      </c>
      <c r="F163" s="1" t="s">
        <v>45</v>
      </c>
      <c r="G163" s="1" t="s">
        <v>487</v>
      </c>
      <c r="H163" s="1" t="b">
        <f>TRUE()</f>
        <v>1</v>
      </c>
      <c r="I163" s="17">
        <v>24</v>
      </c>
      <c r="J163" s="1" t="s">
        <v>442</v>
      </c>
      <c r="K163" s="1" t="s">
        <v>345</v>
      </c>
      <c r="L163" s="1" t="s">
        <v>154</v>
      </c>
      <c r="M163" s="18">
        <v>1</v>
      </c>
      <c r="N163" s="18">
        <v>1.18</v>
      </c>
      <c r="O163" s="18">
        <f t="shared" si="2"/>
        <v>1.18</v>
      </c>
      <c r="P163" s="19">
        <f t="shared" si="3"/>
        <v>118</v>
      </c>
      <c r="Q163" s="1" t="s">
        <v>420</v>
      </c>
      <c r="R163" s="1" t="s">
        <v>494</v>
      </c>
    </row>
    <row r="164" spans="1:18" ht="15" customHeight="1" x14ac:dyDescent="0.35">
      <c r="A164" s="1">
        <v>39</v>
      </c>
      <c r="B164" s="1" t="s">
        <v>485</v>
      </c>
      <c r="C164" s="1" t="s">
        <v>340</v>
      </c>
      <c r="D164" s="1">
        <v>2025</v>
      </c>
      <c r="E164" s="1" t="s">
        <v>486</v>
      </c>
      <c r="F164" s="1" t="s">
        <v>45</v>
      </c>
      <c r="G164" s="1" t="s">
        <v>487</v>
      </c>
      <c r="H164" s="1" t="b">
        <f>TRUE()</f>
        <v>1</v>
      </c>
      <c r="I164" s="17">
        <v>48</v>
      </c>
      <c r="J164" s="1" t="s">
        <v>442</v>
      </c>
      <c r="K164" s="1" t="s">
        <v>345</v>
      </c>
      <c r="L164" s="1" t="s">
        <v>154</v>
      </c>
      <c r="M164" s="18">
        <v>1</v>
      </c>
      <c r="N164" s="18">
        <v>0.52</v>
      </c>
      <c r="O164" s="18">
        <f t="shared" si="2"/>
        <v>0.52</v>
      </c>
      <c r="P164" s="19">
        <f t="shared" si="3"/>
        <v>52</v>
      </c>
      <c r="Q164" s="1" t="s">
        <v>420</v>
      </c>
      <c r="R164" s="1" t="s">
        <v>494</v>
      </c>
    </row>
    <row r="165" spans="1:18" ht="15" customHeight="1" x14ac:dyDescent="0.35">
      <c r="A165" s="1">
        <v>39</v>
      </c>
      <c r="B165" s="1" t="s">
        <v>485</v>
      </c>
      <c r="C165" s="1" t="s">
        <v>340</v>
      </c>
      <c r="D165" s="1">
        <v>2025</v>
      </c>
      <c r="E165" s="1" t="s">
        <v>486</v>
      </c>
      <c r="F165" s="1" t="s">
        <v>45</v>
      </c>
      <c r="G165" s="1" t="s">
        <v>487</v>
      </c>
      <c r="H165" s="1" t="b">
        <f>TRUE()</f>
        <v>1</v>
      </c>
      <c r="I165" s="17">
        <v>72</v>
      </c>
      <c r="J165" s="1" t="s">
        <v>442</v>
      </c>
      <c r="K165" s="1" t="s">
        <v>345</v>
      </c>
      <c r="L165" s="1" t="s">
        <v>154</v>
      </c>
      <c r="M165" s="18">
        <v>1</v>
      </c>
      <c r="N165" s="18">
        <v>1.2</v>
      </c>
      <c r="O165" s="18">
        <f t="shared" si="2"/>
        <v>1.2</v>
      </c>
      <c r="P165" s="19">
        <f t="shared" si="3"/>
        <v>120</v>
      </c>
      <c r="Q165" s="1" t="s">
        <v>420</v>
      </c>
      <c r="R165" s="1" t="s">
        <v>494</v>
      </c>
    </row>
    <row r="166" spans="1:18" ht="15" customHeight="1" x14ac:dyDescent="0.35">
      <c r="A166" s="1">
        <v>39</v>
      </c>
      <c r="B166" s="1" t="s">
        <v>485</v>
      </c>
      <c r="C166" s="1" t="s">
        <v>340</v>
      </c>
      <c r="D166" s="1">
        <v>2025</v>
      </c>
      <c r="E166" s="1" t="s">
        <v>486</v>
      </c>
      <c r="F166" s="1" t="s">
        <v>45</v>
      </c>
      <c r="G166" s="1" t="s">
        <v>487</v>
      </c>
      <c r="H166" s="1" t="b">
        <f>TRUE()</f>
        <v>1</v>
      </c>
      <c r="I166" s="17">
        <v>96</v>
      </c>
      <c r="J166" s="1" t="s">
        <v>442</v>
      </c>
      <c r="K166" s="1" t="s">
        <v>345</v>
      </c>
      <c r="L166" s="1" t="s">
        <v>154</v>
      </c>
      <c r="M166" s="18">
        <v>1</v>
      </c>
      <c r="N166" s="18">
        <v>1.18</v>
      </c>
      <c r="O166" s="18">
        <f t="shared" si="2"/>
        <v>1.18</v>
      </c>
      <c r="P166" s="19">
        <f t="shared" si="3"/>
        <v>118</v>
      </c>
      <c r="Q166" s="1" t="s">
        <v>420</v>
      </c>
      <c r="R166" s="1" t="s">
        <v>494</v>
      </c>
    </row>
    <row r="167" spans="1:18" ht="15" customHeight="1" x14ac:dyDescent="0.35">
      <c r="A167" s="1">
        <v>39</v>
      </c>
      <c r="B167" s="1" t="s">
        <v>485</v>
      </c>
      <c r="C167" s="1" t="s">
        <v>340</v>
      </c>
      <c r="D167" s="1">
        <v>2025</v>
      </c>
      <c r="E167" s="1" t="s">
        <v>486</v>
      </c>
      <c r="F167" s="1" t="s">
        <v>45</v>
      </c>
      <c r="G167" s="1" t="s">
        <v>368</v>
      </c>
      <c r="H167" s="1" t="b">
        <f>TRUE()</f>
        <v>1</v>
      </c>
      <c r="I167" s="17">
        <v>24</v>
      </c>
      <c r="J167" s="1" t="s">
        <v>447</v>
      </c>
      <c r="K167" s="1" t="s">
        <v>345</v>
      </c>
      <c r="L167" s="1" t="s">
        <v>121</v>
      </c>
      <c r="M167" s="18">
        <v>1</v>
      </c>
      <c r="N167" s="18">
        <v>2</v>
      </c>
      <c r="O167" s="18">
        <f t="shared" si="2"/>
        <v>2</v>
      </c>
      <c r="P167" s="19">
        <f t="shared" si="3"/>
        <v>200</v>
      </c>
      <c r="Q167" s="1" t="s">
        <v>495</v>
      </c>
      <c r="R167" s="1" t="s">
        <v>698</v>
      </c>
    </row>
    <row r="168" spans="1:18" ht="15" customHeight="1" x14ac:dyDescent="0.35">
      <c r="A168" s="1">
        <v>39</v>
      </c>
      <c r="B168" s="1" t="s">
        <v>485</v>
      </c>
      <c r="C168" s="1" t="s">
        <v>340</v>
      </c>
      <c r="D168" s="1">
        <v>2025</v>
      </c>
      <c r="E168" s="1" t="s">
        <v>486</v>
      </c>
      <c r="F168" s="1" t="s">
        <v>45</v>
      </c>
      <c r="G168" s="1" t="s">
        <v>368</v>
      </c>
      <c r="H168" s="1" t="b">
        <f>TRUE()</f>
        <v>1</v>
      </c>
      <c r="I168" s="17">
        <v>48</v>
      </c>
      <c r="J168" s="1" t="s">
        <v>447</v>
      </c>
      <c r="K168" s="1" t="s">
        <v>345</v>
      </c>
      <c r="L168" s="1" t="s">
        <v>121</v>
      </c>
      <c r="M168" s="18">
        <v>1</v>
      </c>
      <c r="N168" s="18">
        <v>0.01</v>
      </c>
      <c r="O168" s="18">
        <f t="shared" si="2"/>
        <v>0.01</v>
      </c>
      <c r="P168" s="19">
        <f t="shared" si="3"/>
        <v>1</v>
      </c>
      <c r="Q168" s="1" t="s">
        <v>495</v>
      </c>
      <c r="R168" s="1" t="s">
        <v>698</v>
      </c>
    </row>
    <row r="169" spans="1:18" ht="15" customHeight="1" x14ac:dyDescent="0.35">
      <c r="A169" s="1">
        <v>39</v>
      </c>
      <c r="B169" s="1" t="s">
        <v>485</v>
      </c>
      <c r="C169" s="1" t="s">
        <v>340</v>
      </c>
      <c r="D169" s="1">
        <v>2025</v>
      </c>
      <c r="E169" s="1" t="s">
        <v>486</v>
      </c>
      <c r="F169" s="1" t="s">
        <v>45</v>
      </c>
      <c r="G169" s="1" t="s">
        <v>368</v>
      </c>
      <c r="H169" s="1" t="b">
        <f>TRUE()</f>
        <v>1</v>
      </c>
      <c r="I169" s="17">
        <v>72</v>
      </c>
      <c r="J169" s="1" t="s">
        <v>447</v>
      </c>
      <c r="K169" s="1" t="s">
        <v>345</v>
      </c>
      <c r="L169" s="1" t="s">
        <v>121</v>
      </c>
      <c r="M169" s="18">
        <v>1</v>
      </c>
      <c r="N169" s="18">
        <v>0.03</v>
      </c>
      <c r="O169" s="18">
        <f t="shared" si="2"/>
        <v>0.03</v>
      </c>
      <c r="P169" s="19">
        <f t="shared" si="3"/>
        <v>3</v>
      </c>
      <c r="Q169" s="1" t="s">
        <v>495</v>
      </c>
      <c r="R169" s="1" t="s">
        <v>698</v>
      </c>
    </row>
    <row r="170" spans="1:18" ht="15" customHeight="1" x14ac:dyDescent="0.35">
      <c r="A170" s="1">
        <v>39</v>
      </c>
      <c r="B170" s="1" t="s">
        <v>485</v>
      </c>
      <c r="C170" s="1" t="s">
        <v>340</v>
      </c>
      <c r="D170" s="1">
        <v>2025</v>
      </c>
      <c r="E170" s="1" t="s">
        <v>486</v>
      </c>
      <c r="F170" s="1" t="s">
        <v>45</v>
      </c>
      <c r="G170" s="1" t="s">
        <v>368</v>
      </c>
      <c r="H170" s="1" t="b">
        <f>TRUE()</f>
        <v>1</v>
      </c>
      <c r="I170" s="17">
        <v>96</v>
      </c>
      <c r="J170" s="1" t="s">
        <v>447</v>
      </c>
      <c r="K170" s="1" t="s">
        <v>345</v>
      </c>
      <c r="L170" s="1" t="s">
        <v>121</v>
      </c>
      <c r="M170" s="18">
        <v>1</v>
      </c>
      <c r="N170" s="18">
        <v>0.78</v>
      </c>
      <c r="O170" s="18">
        <f t="shared" si="2"/>
        <v>0.78</v>
      </c>
      <c r="P170" s="19">
        <f t="shared" si="3"/>
        <v>78</v>
      </c>
      <c r="Q170" s="1" t="s">
        <v>495</v>
      </c>
      <c r="R170" s="1" t="s">
        <v>698</v>
      </c>
    </row>
    <row r="171" spans="1:18" ht="15" customHeight="1" x14ac:dyDescent="0.35">
      <c r="A171" s="1">
        <v>39</v>
      </c>
      <c r="B171" s="1" t="s">
        <v>485</v>
      </c>
      <c r="C171" s="1" t="s">
        <v>340</v>
      </c>
      <c r="D171" s="1">
        <v>2025</v>
      </c>
      <c r="E171" s="1" t="s">
        <v>486</v>
      </c>
      <c r="F171" s="1" t="s">
        <v>45</v>
      </c>
      <c r="G171" s="1" t="s">
        <v>489</v>
      </c>
      <c r="H171" s="1" t="b">
        <f>TRUE()</f>
        <v>1</v>
      </c>
      <c r="I171" s="17">
        <v>24</v>
      </c>
      <c r="J171" s="1" t="s">
        <v>447</v>
      </c>
      <c r="K171" s="1" t="s">
        <v>345</v>
      </c>
      <c r="L171" s="1" t="s">
        <v>121</v>
      </c>
      <c r="M171" s="18">
        <v>1</v>
      </c>
      <c r="N171" s="18">
        <v>2.2000000000000002</v>
      </c>
      <c r="O171" s="18">
        <f t="shared" si="2"/>
        <v>2.2000000000000002</v>
      </c>
      <c r="P171" s="19">
        <f t="shared" si="3"/>
        <v>220.00000000000003</v>
      </c>
      <c r="Q171" s="1" t="s">
        <v>495</v>
      </c>
      <c r="R171" s="1" t="s">
        <v>699</v>
      </c>
    </row>
    <row r="172" spans="1:18" ht="15" customHeight="1" x14ac:dyDescent="0.35">
      <c r="A172" s="1">
        <v>39</v>
      </c>
      <c r="B172" s="1" t="s">
        <v>485</v>
      </c>
      <c r="C172" s="1" t="s">
        <v>340</v>
      </c>
      <c r="D172" s="1">
        <v>2025</v>
      </c>
      <c r="E172" s="1" t="s">
        <v>486</v>
      </c>
      <c r="F172" s="1" t="s">
        <v>45</v>
      </c>
      <c r="G172" s="1" t="s">
        <v>489</v>
      </c>
      <c r="H172" s="1" t="b">
        <f>TRUE()</f>
        <v>1</v>
      </c>
      <c r="I172" s="17">
        <v>48</v>
      </c>
      <c r="J172" s="1" t="s">
        <v>447</v>
      </c>
      <c r="K172" s="1" t="s">
        <v>345</v>
      </c>
      <c r="L172" s="1" t="s">
        <v>121</v>
      </c>
      <c r="M172" s="18">
        <v>1</v>
      </c>
      <c r="N172" s="18">
        <v>0.01</v>
      </c>
      <c r="O172" s="18">
        <f t="shared" si="2"/>
        <v>0.01</v>
      </c>
      <c r="P172" s="19">
        <f t="shared" si="3"/>
        <v>1</v>
      </c>
      <c r="Q172" s="1" t="s">
        <v>495</v>
      </c>
      <c r="R172" s="1" t="s">
        <v>699</v>
      </c>
    </row>
    <row r="173" spans="1:18" ht="15" customHeight="1" x14ac:dyDescent="0.35">
      <c r="A173" s="1">
        <v>39</v>
      </c>
      <c r="B173" s="1" t="s">
        <v>485</v>
      </c>
      <c r="C173" s="1" t="s">
        <v>340</v>
      </c>
      <c r="D173" s="1">
        <v>2025</v>
      </c>
      <c r="E173" s="1" t="s">
        <v>486</v>
      </c>
      <c r="F173" s="1" t="s">
        <v>45</v>
      </c>
      <c r="G173" s="1" t="s">
        <v>489</v>
      </c>
      <c r="H173" s="1" t="b">
        <f>TRUE()</f>
        <v>1</v>
      </c>
      <c r="I173" s="17">
        <v>72</v>
      </c>
      <c r="J173" s="1" t="s">
        <v>447</v>
      </c>
      <c r="K173" s="1" t="s">
        <v>345</v>
      </c>
      <c r="L173" s="1" t="s">
        <v>121</v>
      </c>
      <c r="M173" s="18">
        <v>1</v>
      </c>
      <c r="N173" s="18">
        <v>0.12</v>
      </c>
      <c r="O173" s="18">
        <f t="shared" si="2"/>
        <v>0.12</v>
      </c>
      <c r="P173" s="19">
        <f t="shared" si="3"/>
        <v>12</v>
      </c>
      <c r="Q173" s="1" t="s">
        <v>495</v>
      </c>
      <c r="R173" s="1" t="s">
        <v>699</v>
      </c>
    </row>
    <row r="174" spans="1:18" ht="15" customHeight="1" x14ac:dyDescent="0.35">
      <c r="A174" s="1">
        <v>39</v>
      </c>
      <c r="B174" s="1" t="s">
        <v>485</v>
      </c>
      <c r="C174" s="1" t="s">
        <v>340</v>
      </c>
      <c r="D174" s="1">
        <v>2025</v>
      </c>
      <c r="E174" s="1" t="s">
        <v>486</v>
      </c>
      <c r="F174" s="1" t="s">
        <v>45</v>
      </c>
      <c r="G174" s="1" t="s">
        <v>489</v>
      </c>
      <c r="H174" s="1" t="b">
        <f>TRUE()</f>
        <v>1</v>
      </c>
      <c r="I174" s="17">
        <v>96</v>
      </c>
      <c r="J174" s="1" t="s">
        <v>447</v>
      </c>
      <c r="K174" s="1" t="s">
        <v>345</v>
      </c>
      <c r="L174" s="1" t="s">
        <v>121</v>
      </c>
      <c r="M174" s="18">
        <v>1</v>
      </c>
      <c r="N174" s="18">
        <v>0.65</v>
      </c>
      <c r="O174" s="18">
        <f t="shared" si="2"/>
        <v>0.65</v>
      </c>
      <c r="P174" s="19">
        <f t="shared" si="3"/>
        <v>65</v>
      </c>
      <c r="Q174" s="1" t="s">
        <v>495</v>
      </c>
      <c r="R174" s="1" t="s">
        <v>699</v>
      </c>
    </row>
    <row r="175" spans="1:18" ht="15" customHeight="1" x14ac:dyDescent="0.35">
      <c r="A175" s="1">
        <v>42</v>
      </c>
      <c r="B175" s="1" t="s">
        <v>496</v>
      </c>
      <c r="C175" s="1" t="s">
        <v>340</v>
      </c>
      <c r="D175" s="1">
        <v>2024</v>
      </c>
      <c r="E175" s="1" t="s">
        <v>497</v>
      </c>
      <c r="F175" s="1" t="s">
        <v>45</v>
      </c>
      <c r="G175" s="1" t="s">
        <v>365</v>
      </c>
      <c r="H175" s="1" t="b">
        <f>TRUE()</f>
        <v>1</v>
      </c>
      <c r="I175" s="17">
        <v>24</v>
      </c>
      <c r="J175" s="1" t="s">
        <v>419</v>
      </c>
      <c r="K175" s="1" t="s">
        <v>367</v>
      </c>
      <c r="L175" s="1" t="s">
        <v>29</v>
      </c>
      <c r="M175" s="18">
        <v>1.06</v>
      </c>
      <c r="N175" s="18">
        <v>0.22</v>
      </c>
      <c r="O175" s="18">
        <f t="shared" si="2"/>
        <v>0.20754716981132074</v>
      </c>
      <c r="P175" s="19">
        <f t="shared" si="3"/>
        <v>20.754716981132074</v>
      </c>
      <c r="Q175" s="1" t="s">
        <v>420</v>
      </c>
      <c r="R175" s="1" t="s">
        <v>498</v>
      </c>
    </row>
    <row r="176" spans="1:18" ht="15" customHeight="1" x14ac:dyDescent="0.35">
      <c r="A176" s="1">
        <v>42</v>
      </c>
      <c r="B176" s="1" t="s">
        <v>496</v>
      </c>
      <c r="C176" s="1" t="s">
        <v>340</v>
      </c>
      <c r="D176" s="1">
        <v>2024</v>
      </c>
      <c r="E176" s="1" t="s">
        <v>497</v>
      </c>
      <c r="F176" s="1" t="s">
        <v>45</v>
      </c>
      <c r="G176" s="1" t="s">
        <v>365</v>
      </c>
      <c r="H176" s="1" t="b">
        <f>TRUE()</f>
        <v>1</v>
      </c>
      <c r="I176" s="17">
        <v>48</v>
      </c>
      <c r="J176" s="1" t="s">
        <v>419</v>
      </c>
      <c r="K176" s="1" t="s">
        <v>367</v>
      </c>
      <c r="L176" s="1" t="s">
        <v>29</v>
      </c>
      <c r="M176" s="18">
        <v>1.03</v>
      </c>
      <c r="N176" s="18">
        <v>0.33</v>
      </c>
      <c r="O176" s="18">
        <f t="shared" si="2"/>
        <v>0.32038834951456313</v>
      </c>
      <c r="P176" s="19">
        <f t="shared" si="3"/>
        <v>32.038834951456316</v>
      </c>
      <c r="Q176" s="1" t="s">
        <v>420</v>
      </c>
      <c r="R176" s="1" t="s">
        <v>498</v>
      </c>
    </row>
    <row r="177" spans="1:18" ht="15" customHeight="1" x14ac:dyDescent="0.35">
      <c r="A177" s="1">
        <v>42</v>
      </c>
      <c r="B177" s="1" t="s">
        <v>496</v>
      </c>
      <c r="C177" s="1" t="s">
        <v>340</v>
      </c>
      <c r="D177" s="1">
        <v>2024</v>
      </c>
      <c r="E177" s="1" t="s">
        <v>497</v>
      </c>
      <c r="F177" s="1" t="s">
        <v>45</v>
      </c>
      <c r="G177" s="1" t="s">
        <v>365</v>
      </c>
      <c r="H177" s="1" t="b">
        <f>TRUE()</f>
        <v>1</v>
      </c>
      <c r="I177" s="17">
        <v>72</v>
      </c>
      <c r="J177" s="1" t="s">
        <v>419</v>
      </c>
      <c r="K177" s="1" t="s">
        <v>367</v>
      </c>
      <c r="L177" s="1" t="s">
        <v>29</v>
      </c>
      <c r="M177" s="18">
        <v>1.05</v>
      </c>
      <c r="N177" s="18">
        <v>0.86</v>
      </c>
      <c r="O177" s="18">
        <f t="shared" si="2"/>
        <v>0.81904761904761902</v>
      </c>
      <c r="P177" s="19">
        <f t="shared" si="3"/>
        <v>81.904761904761898</v>
      </c>
      <c r="Q177" s="1" t="s">
        <v>420</v>
      </c>
      <c r="R177" s="1" t="s">
        <v>498</v>
      </c>
    </row>
    <row r="178" spans="1:18" ht="15" customHeight="1" x14ac:dyDescent="0.35">
      <c r="A178" s="1">
        <v>42</v>
      </c>
      <c r="B178" s="1" t="s">
        <v>496</v>
      </c>
      <c r="C178" s="1" t="s">
        <v>340</v>
      </c>
      <c r="D178" s="1">
        <v>2024</v>
      </c>
      <c r="E178" s="1" t="s">
        <v>497</v>
      </c>
      <c r="F178" s="1" t="s">
        <v>45</v>
      </c>
      <c r="G178" s="1" t="s">
        <v>365</v>
      </c>
      <c r="H178" s="1" t="b">
        <f>TRUE()</f>
        <v>1</v>
      </c>
      <c r="I178" s="17">
        <v>96</v>
      </c>
      <c r="J178" s="1" t="s">
        <v>419</v>
      </c>
      <c r="K178" s="1" t="s">
        <v>367</v>
      </c>
      <c r="L178" s="1" t="s">
        <v>29</v>
      </c>
      <c r="M178" s="18">
        <v>0.99</v>
      </c>
      <c r="N178" s="18">
        <v>0.95</v>
      </c>
      <c r="O178" s="18">
        <f t="shared" si="2"/>
        <v>0.95959595959595956</v>
      </c>
      <c r="P178" s="19">
        <f t="shared" si="3"/>
        <v>95.959595959595958</v>
      </c>
      <c r="Q178" s="1" t="s">
        <v>420</v>
      </c>
      <c r="R178" s="1" t="s">
        <v>498</v>
      </c>
    </row>
    <row r="179" spans="1:18" ht="15" customHeight="1" x14ac:dyDescent="0.35">
      <c r="A179" s="1">
        <v>42</v>
      </c>
      <c r="B179" s="1" t="s">
        <v>496</v>
      </c>
      <c r="C179" s="1" t="s">
        <v>340</v>
      </c>
      <c r="D179" s="1">
        <v>2024</v>
      </c>
      <c r="E179" s="1" t="s">
        <v>497</v>
      </c>
      <c r="F179" s="1" t="s">
        <v>45</v>
      </c>
      <c r="G179" s="1" t="s">
        <v>368</v>
      </c>
      <c r="H179" s="1" t="b">
        <f>FALSE()</f>
        <v>0</v>
      </c>
      <c r="I179" s="17">
        <v>24</v>
      </c>
      <c r="J179" s="1" t="s">
        <v>419</v>
      </c>
      <c r="K179" s="1" t="s">
        <v>367</v>
      </c>
      <c r="L179" s="1" t="s">
        <v>29</v>
      </c>
      <c r="M179" s="18">
        <v>1.05</v>
      </c>
      <c r="N179" s="18">
        <v>0.06</v>
      </c>
      <c r="O179" s="18">
        <f t="shared" si="2"/>
        <v>5.7142857142857141E-2</v>
      </c>
      <c r="P179" s="19">
        <f t="shared" si="3"/>
        <v>5.7142857142857144</v>
      </c>
      <c r="Q179" s="1" t="s">
        <v>420</v>
      </c>
      <c r="R179" s="1" t="s">
        <v>499</v>
      </c>
    </row>
    <row r="180" spans="1:18" ht="15" customHeight="1" x14ac:dyDescent="0.35">
      <c r="A180" s="1">
        <v>42</v>
      </c>
      <c r="B180" s="1" t="s">
        <v>496</v>
      </c>
      <c r="C180" s="1" t="s">
        <v>340</v>
      </c>
      <c r="D180" s="1">
        <v>2024</v>
      </c>
      <c r="E180" s="1" t="s">
        <v>497</v>
      </c>
      <c r="F180" s="1" t="s">
        <v>45</v>
      </c>
      <c r="G180" s="1" t="s">
        <v>368</v>
      </c>
      <c r="H180" s="1" t="b">
        <f>FALSE()</f>
        <v>0</v>
      </c>
      <c r="I180" s="17">
        <v>48</v>
      </c>
      <c r="J180" s="1" t="s">
        <v>419</v>
      </c>
      <c r="K180" s="1" t="s">
        <v>367</v>
      </c>
      <c r="L180" s="1" t="s">
        <v>29</v>
      </c>
      <c r="M180" s="18">
        <v>0.96</v>
      </c>
      <c r="N180" s="18">
        <v>3.9</v>
      </c>
      <c r="O180" s="18">
        <f t="shared" si="2"/>
        <v>4.0625</v>
      </c>
      <c r="P180" s="19">
        <f t="shared" si="3"/>
        <v>406.25</v>
      </c>
      <c r="Q180" s="1" t="s">
        <v>420</v>
      </c>
      <c r="R180" s="1" t="s">
        <v>499</v>
      </c>
    </row>
    <row r="181" spans="1:18" ht="15" customHeight="1" x14ac:dyDescent="0.35">
      <c r="A181" s="1">
        <v>42</v>
      </c>
      <c r="B181" s="1" t="s">
        <v>496</v>
      </c>
      <c r="C181" s="1" t="s">
        <v>340</v>
      </c>
      <c r="D181" s="1">
        <v>2024</v>
      </c>
      <c r="E181" s="1" t="s">
        <v>497</v>
      </c>
      <c r="F181" s="1" t="s">
        <v>45</v>
      </c>
      <c r="G181" s="1" t="s">
        <v>368</v>
      </c>
      <c r="H181" s="1" t="b">
        <f>FALSE()</f>
        <v>0</v>
      </c>
      <c r="I181" s="17">
        <v>72</v>
      </c>
      <c r="J181" s="1" t="s">
        <v>419</v>
      </c>
      <c r="K181" s="1" t="s">
        <v>367</v>
      </c>
      <c r="L181" s="1" t="s">
        <v>29</v>
      </c>
      <c r="M181" s="18">
        <v>0.95</v>
      </c>
      <c r="N181" s="18">
        <v>0.35</v>
      </c>
      <c r="O181" s="18">
        <f t="shared" si="2"/>
        <v>0.36842105263157893</v>
      </c>
      <c r="P181" s="19">
        <f t="shared" si="3"/>
        <v>36.84210526315789</v>
      </c>
      <c r="Q181" s="1" t="s">
        <v>420</v>
      </c>
      <c r="R181" s="1" t="s">
        <v>499</v>
      </c>
    </row>
    <row r="182" spans="1:18" ht="15" customHeight="1" x14ac:dyDescent="0.35">
      <c r="A182" s="1">
        <v>42</v>
      </c>
      <c r="B182" s="1" t="s">
        <v>496</v>
      </c>
      <c r="C182" s="1" t="s">
        <v>340</v>
      </c>
      <c r="D182" s="1">
        <v>2024</v>
      </c>
      <c r="E182" s="1" t="s">
        <v>497</v>
      </c>
      <c r="F182" s="1" t="s">
        <v>45</v>
      </c>
      <c r="G182" s="1" t="s">
        <v>368</v>
      </c>
      <c r="H182" s="1" t="b">
        <f>FALSE()</f>
        <v>0</v>
      </c>
      <c r="I182" s="17">
        <v>96</v>
      </c>
      <c r="J182" s="1" t="s">
        <v>419</v>
      </c>
      <c r="K182" s="1" t="s">
        <v>367</v>
      </c>
      <c r="L182" s="1" t="s">
        <v>29</v>
      </c>
      <c r="M182" s="18">
        <v>0.95</v>
      </c>
      <c r="N182" s="18">
        <v>0.55000000000000004</v>
      </c>
      <c r="O182" s="18">
        <f t="shared" si="2"/>
        <v>0.57894736842105265</v>
      </c>
      <c r="P182" s="19">
        <f t="shared" si="3"/>
        <v>57.894736842105267</v>
      </c>
      <c r="Q182" s="1" t="s">
        <v>420</v>
      </c>
      <c r="R182" s="1" t="s">
        <v>499</v>
      </c>
    </row>
    <row r="183" spans="1:18" ht="15" customHeight="1" x14ac:dyDescent="0.35">
      <c r="A183" s="1">
        <v>42</v>
      </c>
      <c r="B183" s="1" t="s">
        <v>496</v>
      </c>
      <c r="C183" s="1" t="s">
        <v>340</v>
      </c>
      <c r="D183" s="1">
        <v>2024</v>
      </c>
      <c r="E183" s="1" t="s">
        <v>497</v>
      </c>
      <c r="F183" s="1" t="s">
        <v>45</v>
      </c>
      <c r="G183" s="1" t="s">
        <v>365</v>
      </c>
      <c r="H183" s="1" t="b">
        <f>TRUE()</f>
        <v>1</v>
      </c>
      <c r="I183" s="17">
        <v>24</v>
      </c>
      <c r="J183" s="1" t="s">
        <v>442</v>
      </c>
      <c r="K183" s="1" t="s">
        <v>367</v>
      </c>
      <c r="L183" s="1" t="s">
        <v>154</v>
      </c>
      <c r="M183" s="18">
        <v>1</v>
      </c>
      <c r="N183" s="18">
        <v>0.54</v>
      </c>
      <c r="O183" s="18">
        <f t="shared" si="2"/>
        <v>0.54</v>
      </c>
      <c r="P183" s="19">
        <f t="shared" si="3"/>
        <v>54</v>
      </c>
      <c r="Q183" s="1" t="s">
        <v>420</v>
      </c>
      <c r="R183" s="1" t="s">
        <v>500</v>
      </c>
    </row>
    <row r="184" spans="1:18" ht="15" customHeight="1" x14ac:dyDescent="0.35">
      <c r="A184" s="1">
        <v>42</v>
      </c>
      <c r="B184" s="1" t="s">
        <v>496</v>
      </c>
      <c r="C184" s="1" t="s">
        <v>340</v>
      </c>
      <c r="D184" s="1">
        <v>2024</v>
      </c>
      <c r="E184" s="1" t="s">
        <v>497</v>
      </c>
      <c r="F184" s="1" t="s">
        <v>45</v>
      </c>
      <c r="G184" s="1" t="s">
        <v>365</v>
      </c>
      <c r="H184" s="1" t="b">
        <f>TRUE()</f>
        <v>1</v>
      </c>
      <c r="I184" s="17">
        <v>48</v>
      </c>
      <c r="J184" s="1" t="s">
        <v>442</v>
      </c>
      <c r="K184" s="1" t="s">
        <v>367</v>
      </c>
      <c r="L184" s="1" t="s">
        <v>154</v>
      </c>
      <c r="M184" s="18">
        <v>1</v>
      </c>
      <c r="N184" s="18">
        <v>0.69</v>
      </c>
      <c r="O184" s="18">
        <f t="shared" si="2"/>
        <v>0.69</v>
      </c>
      <c r="P184" s="19">
        <f t="shared" si="3"/>
        <v>69</v>
      </c>
      <c r="Q184" s="1" t="s">
        <v>420</v>
      </c>
      <c r="R184" s="1" t="s">
        <v>500</v>
      </c>
    </row>
    <row r="185" spans="1:18" ht="15" customHeight="1" x14ac:dyDescent="0.35">
      <c r="A185" s="1">
        <v>42</v>
      </c>
      <c r="B185" s="1" t="s">
        <v>496</v>
      </c>
      <c r="C185" s="1" t="s">
        <v>340</v>
      </c>
      <c r="D185" s="1">
        <v>2024</v>
      </c>
      <c r="E185" s="1" t="s">
        <v>497</v>
      </c>
      <c r="F185" s="1" t="s">
        <v>45</v>
      </c>
      <c r="G185" s="1" t="s">
        <v>365</v>
      </c>
      <c r="H185" s="1" t="b">
        <f>TRUE()</f>
        <v>1</v>
      </c>
      <c r="I185" s="17">
        <v>72</v>
      </c>
      <c r="J185" s="1" t="s">
        <v>442</v>
      </c>
      <c r="K185" s="1" t="s">
        <v>367</v>
      </c>
      <c r="L185" s="1" t="s">
        <v>154</v>
      </c>
      <c r="M185" s="18">
        <v>0.99</v>
      </c>
      <c r="N185" s="18">
        <v>0.33</v>
      </c>
      <c r="O185" s="18">
        <f t="shared" si="2"/>
        <v>0.33333333333333337</v>
      </c>
      <c r="P185" s="19">
        <f t="shared" si="3"/>
        <v>33.333333333333336</v>
      </c>
      <c r="Q185" s="1" t="s">
        <v>420</v>
      </c>
      <c r="R185" s="1" t="s">
        <v>500</v>
      </c>
    </row>
    <row r="186" spans="1:18" ht="15" customHeight="1" x14ac:dyDescent="0.35">
      <c r="A186" s="1">
        <v>42</v>
      </c>
      <c r="B186" s="1" t="s">
        <v>496</v>
      </c>
      <c r="C186" s="1" t="s">
        <v>340</v>
      </c>
      <c r="D186" s="1">
        <v>2024</v>
      </c>
      <c r="E186" s="1" t="s">
        <v>497</v>
      </c>
      <c r="F186" s="1" t="s">
        <v>45</v>
      </c>
      <c r="G186" s="1" t="s">
        <v>365</v>
      </c>
      <c r="H186" s="1" t="b">
        <f>TRUE()</f>
        <v>1</v>
      </c>
      <c r="I186" s="17">
        <v>96</v>
      </c>
      <c r="J186" s="1" t="s">
        <v>442</v>
      </c>
      <c r="K186" s="1" t="s">
        <v>367</v>
      </c>
      <c r="L186" s="1" t="s">
        <v>154</v>
      </c>
      <c r="M186" s="18">
        <v>0.98</v>
      </c>
      <c r="N186" s="18">
        <v>0.38</v>
      </c>
      <c r="O186" s="18">
        <f t="shared" si="2"/>
        <v>0.38775510204081631</v>
      </c>
      <c r="P186" s="19">
        <f t="shared" si="3"/>
        <v>38.775510204081634</v>
      </c>
      <c r="Q186" s="1" t="s">
        <v>420</v>
      </c>
      <c r="R186" s="1" t="s">
        <v>500</v>
      </c>
    </row>
    <row r="187" spans="1:18" ht="15" customHeight="1" x14ac:dyDescent="0.35">
      <c r="A187" s="1">
        <v>43</v>
      </c>
      <c r="B187" s="1" t="s">
        <v>501</v>
      </c>
      <c r="C187" s="1" t="s">
        <v>371</v>
      </c>
      <c r="D187" s="1">
        <v>2025</v>
      </c>
      <c r="E187" s="1" t="s">
        <v>502</v>
      </c>
      <c r="F187" s="1" t="s">
        <v>45</v>
      </c>
      <c r="G187" s="1" t="s">
        <v>374</v>
      </c>
      <c r="H187" s="1" t="b">
        <f>TRUE()</f>
        <v>1</v>
      </c>
      <c r="I187" s="17">
        <v>3</v>
      </c>
      <c r="J187" s="1" t="s">
        <v>419</v>
      </c>
      <c r="K187" s="1" t="s">
        <v>376</v>
      </c>
      <c r="L187" s="1" t="s">
        <v>29</v>
      </c>
      <c r="M187" s="18">
        <v>1</v>
      </c>
      <c r="N187" s="18">
        <v>0.14000000000000001</v>
      </c>
      <c r="O187" s="18">
        <f t="shared" si="2"/>
        <v>0.14000000000000001</v>
      </c>
      <c r="P187" s="19">
        <f t="shared" si="3"/>
        <v>14.000000000000002</v>
      </c>
      <c r="Q187" s="1" t="s">
        <v>420</v>
      </c>
      <c r="R187" s="1" t="s">
        <v>503</v>
      </c>
    </row>
    <row r="188" spans="1:18" ht="15" customHeight="1" x14ac:dyDescent="0.35">
      <c r="A188" s="1">
        <v>43</v>
      </c>
      <c r="B188" s="1" t="s">
        <v>501</v>
      </c>
      <c r="C188" s="1" t="s">
        <v>371</v>
      </c>
      <c r="D188" s="1">
        <v>2025</v>
      </c>
      <c r="E188" s="1" t="s">
        <v>502</v>
      </c>
      <c r="F188" s="1" t="s">
        <v>45</v>
      </c>
      <c r="G188" s="1" t="s">
        <v>374</v>
      </c>
      <c r="H188" s="1" t="b">
        <f>TRUE()</f>
        <v>1</v>
      </c>
      <c r="I188" s="17">
        <v>5</v>
      </c>
      <c r="J188" s="1" t="s">
        <v>419</v>
      </c>
      <c r="K188" s="1" t="s">
        <v>376</v>
      </c>
      <c r="L188" s="1" t="s">
        <v>29</v>
      </c>
      <c r="M188" s="18">
        <v>1</v>
      </c>
      <c r="N188" s="18">
        <v>0.24</v>
      </c>
      <c r="O188" s="18">
        <f t="shared" si="2"/>
        <v>0.24</v>
      </c>
      <c r="P188" s="19">
        <f t="shared" si="3"/>
        <v>24</v>
      </c>
      <c r="Q188" s="1" t="s">
        <v>420</v>
      </c>
      <c r="R188" s="1" t="s">
        <v>503</v>
      </c>
    </row>
    <row r="189" spans="1:18" ht="15" customHeight="1" x14ac:dyDescent="0.35">
      <c r="A189" s="1">
        <v>43</v>
      </c>
      <c r="B189" s="1" t="s">
        <v>501</v>
      </c>
      <c r="C189" s="1" t="s">
        <v>371</v>
      </c>
      <c r="D189" s="1">
        <v>2025</v>
      </c>
      <c r="E189" s="1" t="s">
        <v>502</v>
      </c>
      <c r="F189" s="1" t="s">
        <v>45</v>
      </c>
      <c r="G189" s="1" t="s">
        <v>374</v>
      </c>
      <c r="H189" s="1" t="b">
        <f>TRUE()</f>
        <v>1</v>
      </c>
      <c r="I189" s="17">
        <v>3</v>
      </c>
      <c r="J189" s="1" t="s">
        <v>447</v>
      </c>
      <c r="K189" s="1" t="s">
        <v>376</v>
      </c>
      <c r="L189" s="1" t="s">
        <v>121</v>
      </c>
      <c r="M189" s="18">
        <v>10000</v>
      </c>
      <c r="N189" s="18">
        <v>3900</v>
      </c>
      <c r="O189" s="18">
        <f t="shared" si="2"/>
        <v>0.39</v>
      </c>
      <c r="P189" s="19">
        <f t="shared" si="3"/>
        <v>39</v>
      </c>
      <c r="Q189" s="1" t="s">
        <v>448</v>
      </c>
      <c r="R189" s="1" t="s">
        <v>504</v>
      </c>
    </row>
    <row r="190" spans="1:18" ht="15" customHeight="1" x14ac:dyDescent="0.35">
      <c r="A190" s="1">
        <v>43</v>
      </c>
      <c r="B190" s="1" t="s">
        <v>501</v>
      </c>
      <c r="C190" s="1" t="s">
        <v>371</v>
      </c>
      <c r="D190" s="1">
        <v>2025</v>
      </c>
      <c r="E190" s="1" t="s">
        <v>502</v>
      </c>
      <c r="F190" s="1" t="s">
        <v>45</v>
      </c>
      <c r="G190" s="1" t="s">
        <v>374</v>
      </c>
      <c r="H190" s="1" t="b">
        <f>TRUE()</f>
        <v>1</v>
      </c>
      <c r="I190" s="17">
        <v>5</v>
      </c>
      <c r="J190" s="1" t="s">
        <v>447</v>
      </c>
      <c r="K190" s="1" t="s">
        <v>376</v>
      </c>
      <c r="L190" s="1" t="s">
        <v>121</v>
      </c>
      <c r="M190" s="18">
        <v>13600</v>
      </c>
      <c r="N190" s="18">
        <v>3400</v>
      </c>
      <c r="O190" s="18">
        <f t="shared" si="2"/>
        <v>0.25</v>
      </c>
      <c r="P190" s="19">
        <f t="shared" si="3"/>
        <v>25</v>
      </c>
      <c r="Q190" s="1" t="s">
        <v>448</v>
      </c>
      <c r="R190" s="1" t="s">
        <v>504</v>
      </c>
    </row>
    <row r="191" spans="1:18" ht="15" customHeight="1" x14ac:dyDescent="0.35">
      <c r="A191" s="1">
        <v>44</v>
      </c>
      <c r="B191" s="1" t="s">
        <v>505</v>
      </c>
      <c r="C191" s="1" t="s">
        <v>380</v>
      </c>
      <c r="D191" s="1">
        <v>2025</v>
      </c>
      <c r="E191" s="1" t="s">
        <v>506</v>
      </c>
      <c r="F191" s="1" t="s">
        <v>45</v>
      </c>
      <c r="G191" s="1" t="s">
        <v>507</v>
      </c>
      <c r="H191" s="1" t="b">
        <f>TRUE()</f>
        <v>1</v>
      </c>
      <c r="I191" s="17">
        <v>24</v>
      </c>
      <c r="J191" s="1" t="s">
        <v>419</v>
      </c>
      <c r="K191" s="1" t="s">
        <v>367</v>
      </c>
      <c r="L191" s="1" t="s">
        <v>29</v>
      </c>
      <c r="M191" s="18">
        <v>1.2</v>
      </c>
      <c r="N191" s="18">
        <v>0.9</v>
      </c>
      <c r="O191" s="18">
        <f t="shared" si="2"/>
        <v>0.75</v>
      </c>
      <c r="P191" s="19">
        <f t="shared" si="3"/>
        <v>75</v>
      </c>
      <c r="Q191" s="1" t="s">
        <v>420</v>
      </c>
      <c r="R191" s="1" t="s">
        <v>508</v>
      </c>
    </row>
    <row r="192" spans="1:18" ht="15" customHeight="1" x14ac:dyDescent="0.35">
      <c r="A192" s="1">
        <v>44</v>
      </c>
      <c r="B192" s="1" t="s">
        <v>505</v>
      </c>
      <c r="C192" s="1" t="s">
        <v>380</v>
      </c>
      <c r="D192" s="1">
        <v>2025</v>
      </c>
      <c r="E192" s="1" t="s">
        <v>506</v>
      </c>
      <c r="F192" s="1" t="s">
        <v>45</v>
      </c>
      <c r="G192" s="1" t="s">
        <v>507</v>
      </c>
      <c r="H192" s="1" t="b">
        <f>TRUE()</f>
        <v>1</v>
      </c>
      <c r="I192" s="17">
        <v>48</v>
      </c>
      <c r="J192" s="1" t="s">
        <v>419</v>
      </c>
      <c r="K192" s="1" t="s">
        <v>367</v>
      </c>
      <c r="L192" s="1" t="s">
        <v>29</v>
      </c>
      <c r="M192" s="18">
        <v>1.1499999999999999</v>
      </c>
      <c r="N192" s="18">
        <v>0.68</v>
      </c>
      <c r="O192" s="18">
        <f t="shared" si="2"/>
        <v>0.5913043478260871</v>
      </c>
      <c r="P192" s="19">
        <f t="shared" si="3"/>
        <v>59.13043478260871</v>
      </c>
      <c r="Q192" s="1" t="s">
        <v>420</v>
      </c>
      <c r="R192" s="1" t="s">
        <v>508</v>
      </c>
    </row>
    <row r="193" spans="1:18" ht="15" customHeight="1" x14ac:dyDescent="0.35">
      <c r="A193" s="1">
        <v>44</v>
      </c>
      <c r="B193" s="1" t="s">
        <v>505</v>
      </c>
      <c r="C193" s="1" t="s">
        <v>380</v>
      </c>
      <c r="D193" s="1">
        <v>2025</v>
      </c>
      <c r="E193" s="1" t="s">
        <v>506</v>
      </c>
      <c r="F193" s="1" t="s">
        <v>45</v>
      </c>
      <c r="G193" s="1" t="s">
        <v>507</v>
      </c>
      <c r="H193" s="1" t="b">
        <f>TRUE()</f>
        <v>1</v>
      </c>
      <c r="I193" s="17">
        <v>72</v>
      </c>
      <c r="J193" s="1" t="s">
        <v>419</v>
      </c>
      <c r="K193" s="1" t="s">
        <v>367</v>
      </c>
      <c r="L193" s="1" t="s">
        <v>29</v>
      </c>
      <c r="M193" s="18">
        <v>1.05</v>
      </c>
      <c r="N193" s="18">
        <v>0.47</v>
      </c>
      <c r="O193" s="18">
        <f t="shared" si="2"/>
        <v>0.44761904761904758</v>
      </c>
      <c r="P193" s="19">
        <f t="shared" si="3"/>
        <v>44.761904761904759</v>
      </c>
      <c r="Q193" s="1" t="s">
        <v>420</v>
      </c>
      <c r="R193" s="1" t="s">
        <v>508</v>
      </c>
    </row>
    <row r="194" spans="1:18" ht="15" customHeight="1" x14ac:dyDescent="0.35">
      <c r="A194" s="1">
        <v>44</v>
      </c>
      <c r="B194" s="1" t="s">
        <v>505</v>
      </c>
      <c r="C194" s="1" t="s">
        <v>380</v>
      </c>
      <c r="D194" s="1">
        <v>2025</v>
      </c>
      <c r="E194" s="1" t="s">
        <v>506</v>
      </c>
      <c r="F194" s="1" t="s">
        <v>45</v>
      </c>
      <c r="G194" s="1" t="s">
        <v>507</v>
      </c>
      <c r="H194" s="1" t="b">
        <f>TRUE()</f>
        <v>1</v>
      </c>
      <c r="I194" s="17">
        <v>96</v>
      </c>
      <c r="J194" s="1" t="s">
        <v>419</v>
      </c>
      <c r="K194" s="1" t="s">
        <v>367</v>
      </c>
      <c r="L194" s="1" t="s">
        <v>29</v>
      </c>
      <c r="M194" s="18">
        <v>1.03</v>
      </c>
      <c r="N194" s="18">
        <v>0.32</v>
      </c>
      <c r="O194" s="18">
        <f t="shared" si="2"/>
        <v>0.31067961165048541</v>
      </c>
      <c r="P194" s="19">
        <f t="shared" si="3"/>
        <v>31.067961165048541</v>
      </c>
      <c r="Q194" s="1" t="s">
        <v>420</v>
      </c>
      <c r="R194" s="1" t="s">
        <v>508</v>
      </c>
    </row>
    <row r="195" spans="1:18" ht="15" customHeight="1" x14ac:dyDescent="0.35">
      <c r="A195" s="1">
        <v>44</v>
      </c>
      <c r="B195" s="1" t="s">
        <v>505</v>
      </c>
      <c r="C195" s="1" t="s">
        <v>380</v>
      </c>
      <c r="D195" s="1">
        <v>2025</v>
      </c>
      <c r="E195" s="1" t="s">
        <v>506</v>
      </c>
      <c r="F195" s="1" t="s">
        <v>45</v>
      </c>
      <c r="G195" s="1" t="s">
        <v>509</v>
      </c>
      <c r="H195" s="1" t="b">
        <f>TRUE()</f>
        <v>1</v>
      </c>
      <c r="I195" s="17">
        <v>24</v>
      </c>
      <c r="J195" s="1" t="s">
        <v>419</v>
      </c>
      <c r="K195" s="1" t="s">
        <v>367</v>
      </c>
      <c r="L195" s="1" t="s">
        <v>29</v>
      </c>
      <c r="M195" s="18">
        <v>1.2</v>
      </c>
      <c r="N195" s="18">
        <v>0.78</v>
      </c>
      <c r="O195" s="18">
        <f t="shared" si="2"/>
        <v>0.65</v>
      </c>
      <c r="P195" s="19">
        <f t="shared" si="3"/>
        <v>65</v>
      </c>
      <c r="Q195" s="1" t="s">
        <v>420</v>
      </c>
      <c r="R195" s="1" t="s">
        <v>510</v>
      </c>
    </row>
    <row r="196" spans="1:18" ht="15" customHeight="1" x14ac:dyDescent="0.35">
      <c r="A196" s="1">
        <v>44</v>
      </c>
      <c r="B196" s="1" t="s">
        <v>505</v>
      </c>
      <c r="C196" s="1" t="s">
        <v>380</v>
      </c>
      <c r="D196" s="1">
        <v>2025</v>
      </c>
      <c r="E196" s="1" t="s">
        <v>506</v>
      </c>
      <c r="F196" s="1" t="s">
        <v>45</v>
      </c>
      <c r="G196" s="1" t="s">
        <v>509</v>
      </c>
      <c r="H196" s="1" t="b">
        <f>TRUE()</f>
        <v>1</v>
      </c>
      <c r="I196" s="17">
        <v>48</v>
      </c>
      <c r="J196" s="1" t="s">
        <v>419</v>
      </c>
      <c r="K196" s="1" t="s">
        <v>367</v>
      </c>
      <c r="L196" s="1" t="s">
        <v>29</v>
      </c>
      <c r="M196" s="18">
        <v>1.1499999999999999</v>
      </c>
      <c r="N196" s="18">
        <v>0.73</v>
      </c>
      <c r="O196" s="18">
        <f t="shared" si="2"/>
        <v>0.63478260869565217</v>
      </c>
      <c r="P196" s="19">
        <f t="shared" si="3"/>
        <v>63.478260869565219</v>
      </c>
      <c r="Q196" s="1" t="s">
        <v>420</v>
      </c>
      <c r="R196" s="1" t="s">
        <v>510</v>
      </c>
    </row>
    <row r="197" spans="1:18" ht="15" customHeight="1" x14ac:dyDescent="0.35">
      <c r="A197" s="1">
        <v>44</v>
      </c>
      <c r="B197" s="1" t="s">
        <v>505</v>
      </c>
      <c r="C197" s="1" t="s">
        <v>380</v>
      </c>
      <c r="D197" s="1">
        <v>2025</v>
      </c>
      <c r="E197" s="1" t="s">
        <v>506</v>
      </c>
      <c r="F197" s="1" t="s">
        <v>45</v>
      </c>
      <c r="G197" s="1" t="s">
        <v>509</v>
      </c>
      <c r="H197" s="1" t="b">
        <f>TRUE()</f>
        <v>1</v>
      </c>
      <c r="I197" s="17">
        <v>72</v>
      </c>
      <c r="J197" s="1" t="s">
        <v>419</v>
      </c>
      <c r="K197" s="1" t="s">
        <v>367</v>
      </c>
      <c r="L197" s="1" t="s">
        <v>29</v>
      </c>
      <c r="M197" s="18">
        <v>1.17</v>
      </c>
      <c r="N197" s="18">
        <v>0.46</v>
      </c>
      <c r="O197" s="18">
        <f t="shared" si="2"/>
        <v>0.39316239316239321</v>
      </c>
      <c r="P197" s="19">
        <f t="shared" si="3"/>
        <v>39.316239316239319</v>
      </c>
      <c r="Q197" s="1" t="s">
        <v>420</v>
      </c>
      <c r="R197" s="1" t="s">
        <v>510</v>
      </c>
    </row>
    <row r="198" spans="1:18" ht="15" customHeight="1" x14ac:dyDescent="0.35">
      <c r="A198" s="1">
        <v>44</v>
      </c>
      <c r="B198" s="1" t="s">
        <v>505</v>
      </c>
      <c r="C198" s="1" t="s">
        <v>380</v>
      </c>
      <c r="D198" s="1">
        <v>2025</v>
      </c>
      <c r="E198" s="1" t="s">
        <v>506</v>
      </c>
      <c r="F198" s="1" t="s">
        <v>45</v>
      </c>
      <c r="G198" s="1" t="s">
        <v>509</v>
      </c>
      <c r="H198" s="1" t="b">
        <f>TRUE()</f>
        <v>1</v>
      </c>
      <c r="I198" s="17">
        <v>96</v>
      </c>
      <c r="J198" s="1" t="s">
        <v>419</v>
      </c>
      <c r="K198" s="1" t="s">
        <v>367</v>
      </c>
      <c r="L198" s="1" t="s">
        <v>29</v>
      </c>
      <c r="M198" s="18">
        <v>1.1399999999999999</v>
      </c>
      <c r="N198" s="18">
        <v>0.44</v>
      </c>
      <c r="O198" s="18">
        <f t="shared" si="2"/>
        <v>0.38596491228070179</v>
      </c>
      <c r="P198" s="19">
        <f t="shared" si="3"/>
        <v>38.596491228070178</v>
      </c>
      <c r="Q198" s="1" t="s">
        <v>420</v>
      </c>
      <c r="R198" s="1" t="s">
        <v>510</v>
      </c>
    </row>
    <row r="199" spans="1:18" ht="15" customHeight="1" x14ac:dyDescent="0.35">
      <c r="A199" s="1">
        <v>44</v>
      </c>
      <c r="B199" s="1" t="s">
        <v>505</v>
      </c>
      <c r="C199" s="1" t="s">
        <v>380</v>
      </c>
      <c r="D199" s="1">
        <v>2025</v>
      </c>
      <c r="E199" s="1" t="s">
        <v>506</v>
      </c>
      <c r="F199" s="1" t="s">
        <v>45</v>
      </c>
      <c r="G199" s="1" t="s">
        <v>507</v>
      </c>
      <c r="H199" s="1" t="b">
        <f>TRUE()</f>
        <v>1</v>
      </c>
      <c r="I199" s="17">
        <v>24</v>
      </c>
      <c r="J199" s="1" t="s">
        <v>442</v>
      </c>
      <c r="K199" s="1" t="s">
        <v>367</v>
      </c>
      <c r="L199" s="1" t="s">
        <v>154</v>
      </c>
      <c r="M199" s="18">
        <v>1</v>
      </c>
      <c r="N199" s="18">
        <v>0.95</v>
      </c>
      <c r="O199" s="18">
        <f t="shared" si="2"/>
        <v>0.95</v>
      </c>
      <c r="P199" s="19">
        <f t="shared" si="3"/>
        <v>95</v>
      </c>
      <c r="Q199" s="1" t="s">
        <v>420</v>
      </c>
      <c r="R199" s="1" t="s">
        <v>511</v>
      </c>
    </row>
    <row r="200" spans="1:18" ht="15" customHeight="1" x14ac:dyDescent="0.35">
      <c r="A200" s="1">
        <v>44</v>
      </c>
      <c r="B200" s="1" t="s">
        <v>505</v>
      </c>
      <c r="C200" s="1" t="s">
        <v>380</v>
      </c>
      <c r="D200" s="1">
        <v>2025</v>
      </c>
      <c r="E200" s="1" t="s">
        <v>506</v>
      </c>
      <c r="F200" s="1" t="s">
        <v>45</v>
      </c>
      <c r="G200" s="1" t="s">
        <v>507</v>
      </c>
      <c r="H200" s="1" t="b">
        <f>TRUE()</f>
        <v>1</v>
      </c>
      <c r="I200" s="17">
        <v>48</v>
      </c>
      <c r="J200" s="1" t="s">
        <v>442</v>
      </c>
      <c r="K200" s="1" t="s">
        <v>367</v>
      </c>
      <c r="L200" s="1" t="s">
        <v>154</v>
      </c>
      <c r="M200" s="18">
        <v>1</v>
      </c>
      <c r="N200" s="18">
        <v>0.55000000000000004</v>
      </c>
      <c r="O200" s="18">
        <f t="shared" si="2"/>
        <v>0.55000000000000004</v>
      </c>
      <c r="P200" s="19">
        <f t="shared" si="3"/>
        <v>55.000000000000007</v>
      </c>
      <c r="Q200" s="1" t="s">
        <v>420</v>
      </c>
      <c r="R200" s="1" t="s">
        <v>511</v>
      </c>
    </row>
    <row r="201" spans="1:18" ht="15" customHeight="1" x14ac:dyDescent="0.35">
      <c r="A201" s="1">
        <v>44</v>
      </c>
      <c r="B201" s="1" t="s">
        <v>505</v>
      </c>
      <c r="C201" s="1" t="s">
        <v>380</v>
      </c>
      <c r="D201" s="1">
        <v>2025</v>
      </c>
      <c r="E201" s="1" t="s">
        <v>506</v>
      </c>
      <c r="F201" s="1" t="s">
        <v>45</v>
      </c>
      <c r="G201" s="1" t="s">
        <v>507</v>
      </c>
      <c r="H201" s="1" t="b">
        <f>TRUE()</f>
        <v>1</v>
      </c>
      <c r="I201" s="17">
        <v>72</v>
      </c>
      <c r="J201" s="1" t="s">
        <v>442</v>
      </c>
      <c r="K201" s="1" t="s">
        <v>367</v>
      </c>
      <c r="L201" s="1" t="s">
        <v>154</v>
      </c>
      <c r="M201" s="18">
        <v>1</v>
      </c>
      <c r="N201" s="18">
        <v>0.16</v>
      </c>
      <c r="O201" s="18">
        <f t="shared" si="2"/>
        <v>0.16</v>
      </c>
      <c r="P201" s="19">
        <f t="shared" si="3"/>
        <v>16</v>
      </c>
      <c r="Q201" s="1" t="s">
        <v>420</v>
      </c>
      <c r="R201" s="1" t="s">
        <v>511</v>
      </c>
    </row>
    <row r="202" spans="1:18" ht="15" customHeight="1" x14ac:dyDescent="0.35">
      <c r="A202" s="1">
        <v>44</v>
      </c>
      <c r="B202" s="1" t="s">
        <v>505</v>
      </c>
      <c r="C202" s="1" t="s">
        <v>380</v>
      </c>
      <c r="D202" s="1">
        <v>2025</v>
      </c>
      <c r="E202" s="1" t="s">
        <v>506</v>
      </c>
      <c r="F202" s="1" t="s">
        <v>45</v>
      </c>
      <c r="G202" s="1" t="s">
        <v>507</v>
      </c>
      <c r="H202" s="1" t="b">
        <f>TRUE()</f>
        <v>1</v>
      </c>
      <c r="I202" s="17">
        <v>96</v>
      </c>
      <c r="J202" s="1" t="s">
        <v>442</v>
      </c>
      <c r="K202" s="1" t="s">
        <v>367</v>
      </c>
      <c r="L202" s="1" t="s">
        <v>154</v>
      </c>
      <c r="M202" s="18">
        <v>1</v>
      </c>
      <c r="N202" s="18">
        <v>0.12</v>
      </c>
      <c r="O202" s="18">
        <f t="shared" si="2"/>
        <v>0.12</v>
      </c>
      <c r="P202" s="19">
        <f t="shared" si="3"/>
        <v>12</v>
      </c>
      <c r="Q202" s="1" t="s">
        <v>420</v>
      </c>
      <c r="R202" s="1" t="s">
        <v>511</v>
      </c>
    </row>
    <row r="203" spans="1:18" ht="15" customHeight="1" x14ac:dyDescent="0.35">
      <c r="A203" s="1">
        <v>44</v>
      </c>
      <c r="B203" s="1" t="s">
        <v>505</v>
      </c>
      <c r="C203" s="1" t="s">
        <v>380</v>
      </c>
      <c r="D203" s="1">
        <v>2025</v>
      </c>
      <c r="E203" s="1" t="s">
        <v>506</v>
      </c>
      <c r="F203" s="1" t="s">
        <v>45</v>
      </c>
      <c r="G203" s="1" t="s">
        <v>509</v>
      </c>
      <c r="H203" s="1" t="b">
        <f>TRUE()</f>
        <v>1</v>
      </c>
      <c r="I203" s="17">
        <v>24</v>
      </c>
      <c r="J203" s="1" t="s">
        <v>442</v>
      </c>
      <c r="K203" s="1" t="s">
        <v>367</v>
      </c>
      <c r="L203" s="1" t="s">
        <v>154</v>
      </c>
      <c r="M203" s="18">
        <v>1.05</v>
      </c>
      <c r="N203" s="18">
        <v>0.95</v>
      </c>
      <c r="O203" s="18">
        <f t="shared" si="2"/>
        <v>0.90476190476190466</v>
      </c>
      <c r="P203" s="19">
        <f t="shared" si="3"/>
        <v>90.476190476190467</v>
      </c>
      <c r="Q203" s="1" t="s">
        <v>420</v>
      </c>
      <c r="R203" s="1" t="s">
        <v>512</v>
      </c>
    </row>
    <row r="204" spans="1:18" ht="15" customHeight="1" x14ac:dyDescent="0.35">
      <c r="A204" s="1">
        <v>44</v>
      </c>
      <c r="B204" s="1" t="s">
        <v>505</v>
      </c>
      <c r="C204" s="1" t="s">
        <v>380</v>
      </c>
      <c r="D204" s="1">
        <v>2025</v>
      </c>
      <c r="E204" s="1" t="s">
        <v>506</v>
      </c>
      <c r="F204" s="1" t="s">
        <v>45</v>
      </c>
      <c r="G204" s="1" t="s">
        <v>509</v>
      </c>
      <c r="H204" s="1" t="b">
        <f>TRUE()</f>
        <v>1</v>
      </c>
      <c r="I204" s="17">
        <v>48</v>
      </c>
      <c r="J204" s="1" t="s">
        <v>442</v>
      </c>
      <c r="K204" s="1" t="s">
        <v>367</v>
      </c>
      <c r="L204" s="1" t="s">
        <v>154</v>
      </c>
      <c r="M204" s="18">
        <v>1</v>
      </c>
      <c r="N204" s="18">
        <v>0.75</v>
      </c>
      <c r="O204" s="18">
        <f t="shared" si="2"/>
        <v>0.75</v>
      </c>
      <c r="P204" s="19">
        <f t="shared" si="3"/>
        <v>75</v>
      </c>
      <c r="Q204" s="1" t="s">
        <v>420</v>
      </c>
      <c r="R204" s="1" t="s">
        <v>512</v>
      </c>
    </row>
    <row r="205" spans="1:18" ht="15" customHeight="1" x14ac:dyDescent="0.35">
      <c r="A205" s="1">
        <v>44</v>
      </c>
      <c r="B205" s="1" t="s">
        <v>505</v>
      </c>
      <c r="C205" s="1" t="s">
        <v>380</v>
      </c>
      <c r="D205" s="1">
        <v>2025</v>
      </c>
      <c r="E205" s="1" t="s">
        <v>506</v>
      </c>
      <c r="F205" s="1" t="s">
        <v>45</v>
      </c>
      <c r="G205" s="1" t="s">
        <v>509</v>
      </c>
      <c r="H205" s="1" t="b">
        <f>TRUE()</f>
        <v>1</v>
      </c>
      <c r="I205" s="17">
        <v>72</v>
      </c>
      <c r="J205" s="1" t="s">
        <v>442</v>
      </c>
      <c r="K205" s="1" t="s">
        <v>367</v>
      </c>
      <c r="L205" s="1" t="s">
        <v>154</v>
      </c>
      <c r="M205" s="18">
        <v>1.05</v>
      </c>
      <c r="N205" s="18">
        <v>0.55000000000000004</v>
      </c>
      <c r="O205" s="18">
        <f t="shared" si="2"/>
        <v>0.52380952380952384</v>
      </c>
      <c r="P205" s="19">
        <f t="shared" si="3"/>
        <v>52.380952380952387</v>
      </c>
      <c r="Q205" s="1" t="s">
        <v>420</v>
      </c>
      <c r="R205" s="1" t="s">
        <v>512</v>
      </c>
    </row>
    <row r="206" spans="1:18" ht="15" customHeight="1" x14ac:dyDescent="0.35">
      <c r="A206" s="1">
        <v>44</v>
      </c>
      <c r="B206" s="1" t="s">
        <v>505</v>
      </c>
      <c r="C206" s="1" t="s">
        <v>380</v>
      </c>
      <c r="D206" s="1">
        <v>2025</v>
      </c>
      <c r="E206" s="1" t="s">
        <v>506</v>
      </c>
      <c r="F206" s="1" t="s">
        <v>45</v>
      </c>
      <c r="G206" s="1" t="s">
        <v>509</v>
      </c>
      <c r="H206" s="1" t="b">
        <f>TRUE()</f>
        <v>1</v>
      </c>
      <c r="I206" s="17">
        <v>96</v>
      </c>
      <c r="J206" s="1" t="s">
        <v>442</v>
      </c>
      <c r="K206" s="1" t="s">
        <v>367</v>
      </c>
      <c r="L206" s="1" t="s">
        <v>154</v>
      </c>
      <c r="M206" s="18">
        <v>1.05</v>
      </c>
      <c r="N206" s="18">
        <v>0.3</v>
      </c>
      <c r="O206" s="18">
        <f t="shared" si="2"/>
        <v>0.2857142857142857</v>
      </c>
      <c r="P206" s="19">
        <f t="shared" si="3"/>
        <v>28.571428571428569</v>
      </c>
      <c r="Q206" s="1" t="s">
        <v>420</v>
      </c>
      <c r="R206" s="1" t="s">
        <v>512</v>
      </c>
    </row>
    <row r="207" spans="1:18" ht="15" customHeight="1" x14ac:dyDescent="0.35">
      <c r="A207" s="1">
        <v>46</v>
      </c>
      <c r="B207" s="1" t="s">
        <v>398</v>
      </c>
      <c r="C207" s="1" t="s">
        <v>394</v>
      </c>
      <c r="D207" s="1">
        <v>2026</v>
      </c>
      <c r="E207" s="1" t="s">
        <v>513</v>
      </c>
      <c r="F207" s="1" t="s">
        <v>22</v>
      </c>
      <c r="G207" s="1" t="s">
        <v>514</v>
      </c>
      <c r="H207" s="1" t="b">
        <f>TRUE()</f>
        <v>1</v>
      </c>
      <c r="I207" s="17">
        <v>0</v>
      </c>
      <c r="J207" s="1" t="s">
        <v>424</v>
      </c>
      <c r="K207" s="1" t="s">
        <v>27</v>
      </c>
      <c r="L207" s="1" t="s">
        <v>219</v>
      </c>
      <c r="M207" s="18">
        <v>1</v>
      </c>
      <c r="N207" s="18">
        <v>0.47499999999999998</v>
      </c>
      <c r="O207" s="18">
        <f t="shared" si="2"/>
        <v>0.47499999999999998</v>
      </c>
      <c r="P207" s="19">
        <f t="shared" si="3"/>
        <v>47.5</v>
      </c>
      <c r="Q207" s="1" t="s">
        <v>515</v>
      </c>
      <c r="R207" s="1" t="s">
        <v>516</v>
      </c>
    </row>
    <row r="208" spans="1:18" ht="15" customHeight="1" x14ac:dyDescent="0.35">
      <c r="A208" s="1">
        <v>46</v>
      </c>
      <c r="B208" s="1" t="s">
        <v>398</v>
      </c>
      <c r="C208" s="1" t="s">
        <v>394</v>
      </c>
      <c r="D208" s="1">
        <v>2026</v>
      </c>
      <c r="E208" s="1" t="s">
        <v>513</v>
      </c>
      <c r="F208" s="1" t="s">
        <v>22</v>
      </c>
      <c r="G208" s="1" t="s">
        <v>517</v>
      </c>
      <c r="H208" s="1" t="b">
        <f>TRUE()</f>
        <v>1</v>
      </c>
      <c r="I208" s="17">
        <v>0</v>
      </c>
      <c r="J208" s="1" t="s">
        <v>424</v>
      </c>
      <c r="K208" s="1" t="s">
        <v>27</v>
      </c>
      <c r="L208" s="1" t="s">
        <v>219</v>
      </c>
      <c r="M208" s="18">
        <v>1</v>
      </c>
      <c r="N208" s="18">
        <v>0.50800000000000001</v>
      </c>
      <c r="O208" s="18">
        <f t="shared" si="2"/>
        <v>0.50800000000000001</v>
      </c>
      <c r="P208" s="19">
        <f t="shared" si="3"/>
        <v>50.8</v>
      </c>
      <c r="Q208" s="1" t="s">
        <v>515</v>
      </c>
      <c r="R208" s="1" t="s">
        <v>518</v>
      </c>
    </row>
    <row r="209" spans="1:18" ht="15" customHeight="1" x14ac:dyDescent="0.35">
      <c r="A209" s="1">
        <v>46</v>
      </c>
      <c r="B209" s="1" t="s">
        <v>398</v>
      </c>
      <c r="C209" s="1" t="s">
        <v>394</v>
      </c>
      <c r="D209" s="1">
        <v>2026</v>
      </c>
      <c r="E209" s="1" t="s">
        <v>513</v>
      </c>
      <c r="F209" s="1" t="s">
        <v>22</v>
      </c>
      <c r="G209" s="1" t="s">
        <v>519</v>
      </c>
      <c r="H209" s="1" t="b">
        <f>TRUE()</f>
        <v>1</v>
      </c>
      <c r="I209" s="17">
        <v>0</v>
      </c>
      <c r="J209" s="1" t="s">
        <v>424</v>
      </c>
      <c r="K209" s="1" t="s">
        <v>27</v>
      </c>
      <c r="L209" s="1" t="s">
        <v>219</v>
      </c>
      <c r="M209" s="18">
        <v>1</v>
      </c>
      <c r="N209" s="18">
        <v>0.51</v>
      </c>
      <c r="O209" s="18">
        <f t="shared" si="2"/>
        <v>0.51</v>
      </c>
      <c r="P209" s="19">
        <f t="shared" si="3"/>
        <v>51</v>
      </c>
      <c r="Q209" s="1" t="s">
        <v>515</v>
      </c>
      <c r="R209" s="1" t="s">
        <v>520</v>
      </c>
    </row>
    <row r="210" spans="1:18" ht="15" customHeight="1" x14ac:dyDescent="0.35">
      <c r="A210" s="1">
        <v>46</v>
      </c>
      <c r="B210" s="1" t="s">
        <v>398</v>
      </c>
      <c r="C210" s="1" t="s">
        <v>394</v>
      </c>
      <c r="D210" s="1">
        <v>2026</v>
      </c>
      <c r="E210" s="1" t="s">
        <v>513</v>
      </c>
      <c r="F210" s="1" t="s">
        <v>22</v>
      </c>
      <c r="G210" s="1" t="s">
        <v>521</v>
      </c>
      <c r="H210" s="1" t="b">
        <f>TRUE()</f>
        <v>1</v>
      </c>
      <c r="I210" s="17">
        <v>0</v>
      </c>
      <c r="J210" s="1" t="s">
        <v>424</v>
      </c>
      <c r="K210" s="1" t="s">
        <v>27</v>
      </c>
      <c r="L210" s="1" t="s">
        <v>219</v>
      </c>
      <c r="M210" s="18">
        <v>1</v>
      </c>
      <c r="N210" s="18">
        <v>0.54</v>
      </c>
      <c r="O210" s="18">
        <f t="shared" si="2"/>
        <v>0.54</v>
      </c>
      <c r="P210" s="19">
        <f t="shared" si="3"/>
        <v>54</v>
      </c>
      <c r="Q210" s="1" t="s">
        <v>515</v>
      </c>
      <c r="R210" s="1" t="s">
        <v>522</v>
      </c>
    </row>
    <row r="211" spans="1:18" ht="15" customHeight="1" x14ac:dyDescent="0.35">
      <c r="A211" s="1">
        <v>46</v>
      </c>
      <c r="B211" s="1" t="s">
        <v>398</v>
      </c>
      <c r="C211" s="1" t="s">
        <v>394</v>
      </c>
      <c r="D211" s="1">
        <v>2026</v>
      </c>
      <c r="E211" s="1" t="s">
        <v>513</v>
      </c>
      <c r="F211" s="1" t="s">
        <v>22</v>
      </c>
      <c r="G211" s="1" t="s">
        <v>523</v>
      </c>
      <c r="H211" s="1" t="b">
        <f>TRUE()</f>
        <v>1</v>
      </c>
      <c r="I211" s="17">
        <v>0</v>
      </c>
      <c r="J211" s="1" t="s">
        <v>424</v>
      </c>
      <c r="K211" s="1" t="s">
        <v>27</v>
      </c>
      <c r="L211" s="1" t="s">
        <v>219</v>
      </c>
      <c r="M211" s="18">
        <v>1</v>
      </c>
      <c r="N211" s="18">
        <v>0.56399999999999995</v>
      </c>
      <c r="O211" s="18">
        <f t="shared" si="2"/>
        <v>0.56399999999999995</v>
      </c>
      <c r="P211" s="19">
        <f t="shared" si="3"/>
        <v>56.399999999999991</v>
      </c>
      <c r="Q211" s="1" t="s">
        <v>515</v>
      </c>
      <c r="R211" s="1" t="s">
        <v>524</v>
      </c>
    </row>
    <row r="212" spans="1:18" ht="15" customHeight="1" x14ac:dyDescent="0.35">
      <c r="A212" s="1">
        <v>46</v>
      </c>
      <c r="B212" s="1" t="s">
        <v>398</v>
      </c>
      <c r="C212" s="1" t="s">
        <v>394</v>
      </c>
      <c r="D212" s="1">
        <v>2026</v>
      </c>
      <c r="E212" s="1" t="s">
        <v>513</v>
      </c>
      <c r="F212" s="1" t="s">
        <v>22</v>
      </c>
      <c r="G212" s="1" t="s">
        <v>525</v>
      </c>
      <c r="H212" s="1" t="b">
        <f>TRUE()</f>
        <v>1</v>
      </c>
      <c r="I212" s="17">
        <v>0</v>
      </c>
      <c r="J212" s="1" t="s">
        <v>424</v>
      </c>
      <c r="K212" s="1" t="s">
        <v>27</v>
      </c>
      <c r="L212" s="1" t="s">
        <v>219</v>
      </c>
      <c r="M212" s="18">
        <v>1</v>
      </c>
      <c r="N212" s="18">
        <v>0.58399999999999996</v>
      </c>
      <c r="O212" s="18">
        <f t="shared" si="2"/>
        <v>0.58399999999999996</v>
      </c>
      <c r="P212" s="19">
        <f t="shared" si="3"/>
        <v>58.4</v>
      </c>
      <c r="Q212" s="1" t="s">
        <v>515</v>
      </c>
      <c r="R212" s="1" t="s">
        <v>526</v>
      </c>
    </row>
    <row r="213" spans="1:18" ht="15" customHeight="1" x14ac:dyDescent="0.35">
      <c r="A213" s="1">
        <v>46</v>
      </c>
      <c r="B213" s="1" t="s">
        <v>398</v>
      </c>
      <c r="C213" s="1" t="s">
        <v>394</v>
      </c>
      <c r="D213" s="1">
        <v>2026</v>
      </c>
      <c r="E213" s="1" t="s">
        <v>513</v>
      </c>
      <c r="F213" s="1" t="s">
        <v>22</v>
      </c>
      <c r="G213" s="1" t="s">
        <v>527</v>
      </c>
      <c r="H213" s="1" t="b">
        <f>TRUE()</f>
        <v>1</v>
      </c>
      <c r="I213" s="17">
        <v>0</v>
      </c>
      <c r="J213" s="1" t="s">
        <v>424</v>
      </c>
      <c r="K213" s="1" t="s">
        <v>27</v>
      </c>
      <c r="L213" s="1" t="s">
        <v>219</v>
      </c>
      <c r="M213" s="18">
        <v>1</v>
      </c>
      <c r="N213" s="18">
        <v>0.60299999999999998</v>
      </c>
      <c r="O213" s="18">
        <f t="shared" si="2"/>
        <v>0.60299999999999998</v>
      </c>
      <c r="P213" s="19">
        <f t="shared" si="3"/>
        <v>60.3</v>
      </c>
      <c r="Q213" s="1" t="s">
        <v>515</v>
      </c>
      <c r="R213" s="1" t="s">
        <v>528</v>
      </c>
    </row>
    <row r="214" spans="1:18" ht="15" customHeight="1" x14ac:dyDescent="0.35">
      <c r="A214" s="1">
        <v>46</v>
      </c>
      <c r="B214" s="1" t="s">
        <v>398</v>
      </c>
      <c r="C214" s="1" t="s">
        <v>394</v>
      </c>
      <c r="D214" s="1">
        <v>2026</v>
      </c>
      <c r="E214" s="1" t="s">
        <v>513</v>
      </c>
      <c r="F214" s="1" t="s">
        <v>22</v>
      </c>
      <c r="G214" s="1" t="s">
        <v>529</v>
      </c>
      <c r="H214" s="1" t="b">
        <f>TRUE()</f>
        <v>1</v>
      </c>
      <c r="I214" s="17">
        <v>0</v>
      </c>
      <c r="J214" s="1" t="s">
        <v>424</v>
      </c>
      <c r="K214" s="1" t="s">
        <v>27</v>
      </c>
      <c r="L214" s="1" t="s">
        <v>219</v>
      </c>
      <c r="M214" s="18">
        <v>1</v>
      </c>
      <c r="N214" s="18">
        <v>0.63100000000000001</v>
      </c>
      <c r="O214" s="18">
        <f t="shared" si="2"/>
        <v>0.63100000000000001</v>
      </c>
      <c r="P214" s="19">
        <f t="shared" si="3"/>
        <v>63.1</v>
      </c>
      <c r="Q214" s="1" t="s">
        <v>515</v>
      </c>
      <c r="R214" s="1" t="s">
        <v>530</v>
      </c>
    </row>
    <row r="215" spans="1:18" ht="15" customHeight="1" x14ac:dyDescent="0.35">
      <c r="A215" s="1">
        <v>46</v>
      </c>
      <c r="B215" s="1" t="s">
        <v>398</v>
      </c>
      <c r="C215" s="1" t="s">
        <v>394</v>
      </c>
      <c r="D215" s="1">
        <v>2026</v>
      </c>
      <c r="E215" s="1" t="s">
        <v>513</v>
      </c>
      <c r="F215" s="1" t="s">
        <v>22</v>
      </c>
      <c r="G215" s="1" t="s">
        <v>531</v>
      </c>
      <c r="H215" s="1" t="b">
        <f>TRUE()</f>
        <v>1</v>
      </c>
      <c r="I215" s="17">
        <v>0</v>
      </c>
      <c r="J215" s="1" t="s">
        <v>424</v>
      </c>
      <c r="K215" s="1" t="s">
        <v>27</v>
      </c>
      <c r="L215" s="1" t="s">
        <v>219</v>
      </c>
      <c r="M215" s="18">
        <v>1</v>
      </c>
      <c r="N215" s="18">
        <v>0.66400000000000003</v>
      </c>
      <c r="O215" s="18">
        <f t="shared" si="2"/>
        <v>0.66400000000000003</v>
      </c>
      <c r="P215" s="19">
        <f t="shared" si="3"/>
        <v>66.400000000000006</v>
      </c>
      <c r="Q215" s="1" t="s">
        <v>515</v>
      </c>
      <c r="R215" s="1" t="s">
        <v>532</v>
      </c>
    </row>
    <row r="216" spans="1:18" ht="15" customHeight="1" x14ac:dyDescent="0.35">
      <c r="A216" s="1">
        <v>46</v>
      </c>
      <c r="B216" s="1" t="s">
        <v>398</v>
      </c>
      <c r="C216" s="1" t="s">
        <v>394</v>
      </c>
      <c r="D216" s="1">
        <v>2026</v>
      </c>
      <c r="E216" s="1" t="s">
        <v>513</v>
      </c>
      <c r="F216" s="1" t="s">
        <v>22</v>
      </c>
      <c r="G216" s="1" t="s">
        <v>533</v>
      </c>
      <c r="H216" s="1" t="b">
        <f>TRUE()</f>
        <v>1</v>
      </c>
      <c r="I216" s="17">
        <v>0</v>
      </c>
      <c r="J216" s="1" t="s">
        <v>424</v>
      </c>
      <c r="K216" s="1" t="s">
        <v>27</v>
      </c>
      <c r="L216" s="1" t="s">
        <v>219</v>
      </c>
      <c r="M216" s="18">
        <v>1</v>
      </c>
      <c r="N216" s="18">
        <v>0.66600000000000004</v>
      </c>
      <c r="O216" s="18">
        <f t="shared" si="2"/>
        <v>0.66600000000000004</v>
      </c>
      <c r="P216" s="19">
        <f t="shared" si="3"/>
        <v>66.600000000000009</v>
      </c>
      <c r="Q216" s="1" t="s">
        <v>515</v>
      </c>
      <c r="R216" s="1" t="s">
        <v>534</v>
      </c>
    </row>
    <row r="217" spans="1:18" ht="15" customHeight="1" x14ac:dyDescent="0.35">
      <c r="A217" s="1">
        <v>46</v>
      </c>
      <c r="B217" s="1" t="s">
        <v>398</v>
      </c>
      <c r="C217" s="1" t="s">
        <v>394</v>
      </c>
      <c r="D217" s="1">
        <v>2026</v>
      </c>
      <c r="E217" s="1" t="s">
        <v>513</v>
      </c>
      <c r="F217" s="1" t="s">
        <v>22</v>
      </c>
      <c r="G217" s="1" t="s">
        <v>535</v>
      </c>
      <c r="H217" s="1" t="b">
        <f>TRUE()</f>
        <v>1</v>
      </c>
      <c r="I217" s="17">
        <v>0</v>
      </c>
      <c r="J217" s="1" t="s">
        <v>424</v>
      </c>
      <c r="K217" s="1" t="s">
        <v>27</v>
      </c>
      <c r="L217" s="1" t="s">
        <v>219</v>
      </c>
      <c r="M217" s="18">
        <v>1</v>
      </c>
      <c r="N217" s="18">
        <v>0.66800000000000004</v>
      </c>
      <c r="O217" s="18">
        <f t="shared" ref="O217:O280" si="4">N217/M217</f>
        <v>0.66800000000000004</v>
      </c>
      <c r="P217" s="19">
        <f t="shared" ref="P217:P280" si="5">O217*100</f>
        <v>66.8</v>
      </c>
      <c r="Q217" s="1" t="s">
        <v>515</v>
      </c>
      <c r="R217" s="1" t="s">
        <v>536</v>
      </c>
    </row>
    <row r="218" spans="1:18" ht="15" customHeight="1" x14ac:dyDescent="0.35">
      <c r="A218" s="1">
        <v>46</v>
      </c>
      <c r="B218" s="1" t="s">
        <v>398</v>
      </c>
      <c r="C218" s="1" t="s">
        <v>394</v>
      </c>
      <c r="D218" s="1">
        <v>2026</v>
      </c>
      <c r="E218" s="1" t="s">
        <v>513</v>
      </c>
      <c r="F218" s="1" t="s">
        <v>22</v>
      </c>
      <c r="G218" s="1" t="s">
        <v>537</v>
      </c>
      <c r="H218" s="1" t="b">
        <f>TRUE()</f>
        <v>1</v>
      </c>
      <c r="I218" s="17">
        <v>0</v>
      </c>
      <c r="J218" s="1" t="s">
        <v>424</v>
      </c>
      <c r="K218" s="1" t="s">
        <v>27</v>
      </c>
      <c r="L218" s="1" t="s">
        <v>219</v>
      </c>
      <c r="M218" s="18">
        <v>1</v>
      </c>
      <c r="N218" s="18">
        <v>0.67200000000000004</v>
      </c>
      <c r="O218" s="18">
        <f t="shared" si="4"/>
        <v>0.67200000000000004</v>
      </c>
      <c r="P218" s="19">
        <f t="shared" si="5"/>
        <v>67.2</v>
      </c>
      <c r="Q218" s="1" t="s">
        <v>515</v>
      </c>
      <c r="R218" s="1" t="s">
        <v>538</v>
      </c>
    </row>
    <row r="219" spans="1:18" ht="15" customHeight="1" x14ac:dyDescent="0.35">
      <c r="A219" s="1">
        <v>46</v>
      </c>
      <c r="B219" s="1" t="s">
        <v>398</v>
      </c>
      <c r="C219" s="1" t="s">
        <v>394</v>
      </c>
      <c r="D219" s="1">
        <v>2026</v>
      </c>
      <c r="E219" s="1" t="s">
        <v>513</v>
      </c>
      <c r="F219" s="1" t="s">
        <v>22</v>
      </c>
      <c r="G219" s="1" t="s">
        <v>539</v>
      </c>
      <c r="H219" s="1" t="b">
        <f>TRUE()</f>
        <v>1</v>
      </c>
      <c r="I219" s="17">
        <v>0</v>
      </c>
      <c r="J219" s="1" t="s">
        <v>424</v>
      </c>
      <c r="K219" s="1" t="s">
        <v>27</v>
      </c>
      <c r="L219" s="1" t="s">
        <v>219</v>
      </c>
      <c r="M219" s="18">
        <v>1</v>
      </c>
      <c r="N219" s="18">
        <v>0.75900000000000001</v>
      </c>
      <c r="O219" s="18">
        <f t="shared" si="4"/>
        <v>0.75900000000000001</v>
      </c>
      <c r="P219" s="19">
        <f t="shared" si="5"/>
        <v>75.900000000000006</v>
      </c>
      <c r="Q219" s="1" t="s">
        <v>515</v>
      </c>
      <c r="R219" s="1" t="s">
        <v>540</v>
      </c>
    </row>
    <row r="220" spans="1:18" ht="15" customHeight="1" x14ac:dyDescent="0.35">
      <c r="A220" s="1">
        <v>46</v>
      </c>
      <c r="B220" s="1" t="s">
        <v>398</v>
      </c>
      <c r="C220" s="1" t="s">
        <v>394</v>
      </c>
      <c r="D220" s="1">
        <v>2026</v>
      </c>
      <c r="E220" s="1" t="s">
        <v>513</v>
      </c>
      <c r="F220" s="1" t="s">
        <v>22</v>
      </c>
      <c r="G220" s="1" t="s">
        <v>541</v>
      </c>
      <c r="H220" s="1" t="b">
        <f>TRUE()</f>
        <v>1</v>
      </c>
      <c r="I220" s="17">
        <v>0</v>
      </c>
      <c r="J220" s="1" t="s">
        <v>424</v>
      </c>
      <c r="K220" s="1" t="s">
        <v>27</v>
      </c>
      <c r="L220" s="1" t="s">
        <v>219</v>
      </c>
      <c r="M220" s="18">
        <v>1</v>
      </c>
      <c r="N220" s="18">
        <v>0.79600000000000004</v>
      </c>
      <c r="O220" s="18">
        <f t="shared" si="4"/>
        <v>0.79600000000000004</v>
      </c>
      <c r="P220" s="19">
        <f t="shared" si="5"/>
        <v>79.600000000000009</v>
      </c>
      <c r="Q220" s="1" t="s">
        <v>515</v>
      </c>
      <c r="R220" s="1" t="s">
        <v>542</v>
      </c>
    </row>
    <row r="221" spans="1:18" ht="15" customHeight="1" x14ac:dyDescent="0.35">
      <c r="A221" s="1">
        <v>46</v>
      </c>
      <c r="B221" s="1" t="s">
        <v>398</v>
      </c>
      <c r="C221" s="1" t="s">
        <v>394</v>
      </c>
      <c r="D221" s="1">
        <v>2026</v>
      </c>
      <c r="E221" s="1" t="s">
        <v>513</v>
      </c>
      <c r="F221" s="1" t="s">
        <v>22</v>
      </c>
      <c r="G221" s="1" t="s">
        <v>543</v>
      </c>
      <c r="H221" s="1" t="b">
        <f>TRUE()</f>
        <v>1</v>
      </c>
      <c r="I221" s="17">
        <v>0</v>
      </c>
      <c r="J221" s="1" t="s">
        <v>424</v>
      </c>
      <c r="K221" s="1" t="s">
        <v>27</v>
      </c>
      <c r="L221" s="1" t="s">
        <v>219</v>
      </c>
      <c r="M221" s="18">
        <v>1</v>
      </c>
      <c r="N221" s="18">
        <v>0.80500000000000005</v>
      </c>
      <c r="O221" s="18">
        <f t="shared" si="4"/>
        <v>0.80500000000000005</v>
      </c>
      <c r="P221" s="19">
        <f t="shared" si="5"/>
        <v>80.5</v>
      </c>
      <c r="Q221" s="1" t="s">
        <v>515</v>
      </c>
      <c r="R221" s="1" t="s">
        <v>544</v>
      </c>
    </row>
    <row r="222" spans="1:18" ht="15" customHeight="1" x14ac:dyDescent="0.35">
      <c r="A222" s="1">
        <v>46</v>
      </c>
      <c r="B222" s="1" t="s">
        <v>398</v>
      </c>
      <c r="C222" s="1" t="s">
        <v>394</v>
      </c>
      <c r="D222" s="1">
        <v>2026</v>
      </c>
      <c r="E222" s="1" t="s">
        <v>513</v>
      </c>
      <c r="F222" s="1" t="s">
        <v>22</v>
      </c>
      <c r="G222" s="1" t="s">
        <v>545</v>
      </c>
      <c r="H222" s="1" t="b">
        <f>TRUE()</f>
        <v>1</v>
      </c>
      <c r="I222" s="17">
        <v>0</v>
      </c>
      <c r="J222" s="1" t="s">
        <v>424</v>
      </c>
      <c r="K222" s="1" t="s">
        <v>27</v>
      </c>
      <c r="L222" s="1" t="s">
        <v>219</v>
      </c>
      <c r="M222" s="18">
        <v>1</v>
      </c>
      <c r="N222" s="18">
        <v>0.83899999999999997</v>
      </c>
      <c r="O222" s="18">
        <f t="shared" si="4"/>
        <v>0.83899999999999997</v>
      </c>
      <c r="P222" s="19">
        <f t="shared" si="5"/>
        <v>83.899999999999991</v>
      </c>
      <c r="Q222" s="1" t="s">
        <v>515</v>
      </c>
      <c r="R222" s="1" t="s">
        <v>546</v>
      </c>
    </row>
    <row r="223" spans="1:18" ht="15" customHeight="1" x14ac:dyDescent="0.35">
      <c r="A223" s="1">
        <v>46</v>
      </c>
      <c r="B223" s="1" t="s">
        <v>398</v>
      </c>
      <c r="C223" s="1" t="s">
        <v>394</v>
      </c>
      <c r="D223" s="1">
        <v>2026</v>
      </c>
      <c r="E223" s="1" t="s">
        <v>513</v>
      </c>
      <c r="F223" s="1" t="s">
        <v>22</v>
      </c>
      <c r="G223" s="1" t="s">
        <v>547</v>
      </c>
      <c r="H223" s="1" t="b">
        <f>TRUE()</f>
        <v>1</v>
      </c>
      <c r="I223" s="17">
        <v>0</v>
      </c>
      <c r="J223" s="1" t="s">
        <v>424</v>
      </c>
      <c r="K223" s="1" t="s">
        <v>27</v>
      </c>
      <c r="L223" s="1" t="s">
        <v>219</v>
      </c>
      <c r="M223" s="18">
        <v>1</v>
      </c>
      <c r="N223" s="18">
        <v>0.88700000000000001</v>
      </c>
      <c r="O223" s="18">
        <f t="shared" si="4"/>
        <v>0.88700000000000001</v>
      </c>
      <c r="P223" s="19">
        <f t="shared" si="5"/>
        <v>88.7</v>
      </c>
      <c r="Q223" s="1" t="s">
        <v>515</v>
      </c>
      <c r="R223" s="1" t="s">
        <v>548</v>
      </c>
    </row>
    <row r="224" spans="1:18" ht="15" customHeight="1" x14ac:dyDescent="0.35">
      <c r="A224" s="1">
        <v>46</v>
      </c>
      <c r="B224" s="1" t="s">
        <v>398</v>
      </c>
      <c r="C224" s="1" t="s">
        <v>394</v>
      </c>
      <c r="D224" s="1">
        <v>2026</v>
      </c>
      <c r="E224" s="1" t="s">
        <v>513</v>
      </c>
      <c r="F224" s="1" t="s">
        <v>22</v>
      </c>
      <c r="G224" s="1" t="s">
        <v>549</v>
      </c>
      <c r="H224" s="1" t="b">
        <f>TRUE()</f>
        <v>1</v>
      </c>
      <c r="I224" s="17">
        <v>0</v>
      </c>
      <c r="J224" s="1" t="s">
        <v>424</v>
      </c>
      <c r="K224" s="1" t="s">
        <v>27</v>
      </c>
      <c r="L224" s="1" t="s">
        <v>219</v>
      </c>
      <c r="M224" s="18">
        <v>1</v>
      </c>
      <c r="N224" s="18">
        <v>0.89400000000000002</v>
      </c>
      <c r="O224" s="18">
        <f t="shared" si="4"/>
        <v>0.89400000000000002</v>
      </c>
      <c r="P224" s="19">
        <f t="shared" si="5"/>
        <v>89.4</v>
      </c>
      <c r="Q224" s="1" t="s">
        <v>515</v>
      </c>
      <c r="R224" s="1" t="s">
        <v>550</v>
      </c>
    </row>
    <row r="225" spans="1:18" ht="15" customHeight="1" x14ac:dyDescent="0.35">
      <c r="A225" s="1">
        <v>46</v>
      </c>
      <c r="B225" s="1" t="s">
        <v>398</v>
      </c>
      <c r="C225" s="1" t="s">
        <v>394</v>
      </c>
      <c r="D225" s="1">
        <v>2026</v>
      </c>
      <c r="E225" s="1" t="s">
        <v>513</v>
      </c>
      <c r="F225" s="1" t="s">
        <v>22</v>
      </c>
      <c r="G225" s="1" t="s">
        <v>551</v>
      </c>
      <c r="H225" s="1" t="b">
        <f>TRUE()</f>
        <v>1</v>
      </c>
      <c r="I225" s="17">
        <v>0</v>
      </c>
      <c r="J225" s="1" t="s">
        <v>424</v>
      </c>
      <c r="K225" s="1" t="s">
        <v>27</v>
      </c>
      <c r="L225" s="1" t="s">
        <v>219</v>
      </c>
      <c r="M225" s="18">
        <v>1</v>
      </c>
      <c r="N225" s="18">
        <v>1.0629999999999999</v>
      </c>
      <c r="O225" s="18">
        <f t="shared" si="4"/>
        <v>1.0629999999999999</v>
      </c>
      <c r="P225" s="19">
        <f t="shared" si="5"/>
        <v>106.3</v>
      </c>
      <c r="Q225" s="1" t="s">
        <v>515</v>
      </c>
      <c r="R225" s="1" t="s">
        <v>552</v>
      </c>
    </row>
    <row r="226" spans="1:18" ht="15" customHeight="1" x14ac:dyDescent="0.35">
      <c r="A226" s="1">
        <v>46</v>
      </c>
      <c r="B226" s="1" t="s">
        <v>398</v>
      </c>
      <c r="C226" s="1" t="s">
        <v>394</v>
      </c>
      <c r="D226" s="1">
        <v>2026</v>
      </c>
      <c r="E226" s="1" t="s">
        <v>513</v>
      </c>
      <c r="F226" s="1" t="s">
        <v>22</v>
      </c>
      <c r="G226" s="1" t="s">
        <v>553</v>
      </c>
      <c r="H226" s="1" t="b">
        <f>TRUE()</f>
        <v>1</v>
      </c>
      <c r="I226" s="17">
        <v>0</v>
      </c>
      <c r="J226" s="1" t="s">
        <v>424</v>
      </c>
      <c r="K226" s="1" t="s">
        <v>27</v>
      </c>
      <c r="L226" s="1" t="s">
        <v>219</v>
      </c>
      <c r="M226" s="18">
        <v>1</v>
      </c>
      <c r="N226" s="18">
        <v>1.093</v>
      </c>
      <c r="O226" s="18">
        <f t="shared" si="4"/>
        <v>1.093</v>
      </c>
      <c r="P226" s="19">
        <f t="shared" si="5"/>
        <v>109.3</v>
      </c>
      <c r="Q226" s="1" t="s">
        <v>515</v>
      </c>
      <c r="R226" s="1" t="s">
        <v>554</v>
      </c>
    </row>
    <row r="227" spans="1:18" ht="15" customHeight="1" x14ac:dyDescent="0.35">
      <c r="A227" s="1">
        <v>25</v>
      </c>
      <c r="B227" s="1" t="s">
        <v>555</v>
      </c>
      <c r="C227" s="1" t="s">
        <v>108</v>
      </c>
      <c r="D227" s="1">
        <v>2024</v>
      </c>
      <c r="E227" s="1" t="s">
        <v>556</v>
      </c>
      <c r="F227" s="1" t="s">
        <v>22</v>
      </c>
      <c r="G227" s="1" t="s">
        <v>228</v>
      </c>
      <c r="H227" s="1" t="b">
        <f>TRUE()</f>
        <v>1</v>
      </c>
      <c r="I227" s="17">
        <v>0</v>
      </c>
      <c r="J227" s="1" t="s">
        <v>424</v>
      </c>
      <c r="K227" s="1" t="s">
        <v>27</v>
      </c>
      <c r="L227" s="1" t="s">
        <v>557</v>
      </c>
      <c r="M227" s="18">
        <v>13000000</v>
      </c>
      <c r="N227" s="18">
        <v>2500000</v>
      </c>
      <c r="O227" s="18">
        <f t="shared" si="4"/>
        <v>0.19230769230769232</v>
      </c>
      <c r="P227" s="19">
        <f t="shared" si="5"/>
        <v>19.230769230769234</v>
      </c>
      <c r="Q227" s="1" t="s">
        <v>558</v>
      </c>
      <c r="R227" s="1" t="s">
        <v>559</v>
      </c>
    </row>
    <row r="228" spans="1:18" ht="15" customHeight="1" x14ac:dyDescent="0.35">
      <c r="A228" s="1">
        <v>25</v>
      </c>
      <c r="B228" s="1" t="s">
        <v>555</v>
      </c>
      <c r="C228" s="1" t="s">
        <v>108</v>
      </c>
      <c r="D228" s="1">
        <v>2024</v>
      </c>
      <c r="E228" s="1" t="s">
        <v>556</v>
      </c>
      <c r="F228" s="1" t="s">
        <v>22</v>
      </c>
      <c r="G228" s="1" t="s">
        <v>228</v>
      </c>
      <c r="H228" s="1" t="b">
        <f>TRUE()</f>
        <v>1</v>
      </c>
      <c r="I228" s="17">
        <v>0</v>
      </c>
      <c r="J228" s="1" t="s">
        <v>419</v>
      </c>
      <c r="K228" s="1" t="s">
        <v>27</v>
      </c>
      <c r="L228" s="1" t="s">
        <v>29</v>
      </c>
      <c r="M228" s="18">
        <v>1</v>
      </c>
      <c r="N228" s="18">
        <v>0.62</v>
      </c>
      <c r="O228" s="18">
        <f t="shared" si="4"/>
        <v>0.62</v>
      </c>
      <c r="P228" s="19">
        <f t="shared" si="5"/>
        <v>62</v>
      </c>
      <c r="Q228" s="1" t="s">
        <v>420</v>
      </c>
      <c r="R228" s="1" t="s">
        <v>560</v>
      </c>
    </row>
    <row r="229" spans="1:18" ht="15" customHeight="1" x14ac:dyDescent="0.35">
      <c r="A229" s="1">
        <v>23</v>
      </c>
      <c r="B229" s="1" t="s">
        <v>561</v>
      </c>
      <c r="C229" s="1" t="s">
        <v>32</v>
      </c>
      <c r="D229" s="1">
        <v>2019</v>
      </c>
      <c r="E229" s="1" t="s">
        <v>562</v>
      </c>
      <c r="F229" s="1" t="s">
        <v>22</v>
      </c>
      <c r="G229" s="1" t="s">
        <v>182</v>
      </c>
      <c r="H229" s="1" t="b">
        <f>TRUE()</f>
        <v>1</v>
      </c>
      <c r="I229" s="17">
        <v>0</v>
      </c>
      <c r="J229" s="1" t="s">
        <v>424</v>
      </c>
      <c r="K229" s="1" t="s">
        <v>37</v>
      </c>
      <c r="L229" s="1" t="s">
        <v>563</v>
      </c>
      <c r="M229" s="18">
        <v>6.5</v>
      </c>
      <c r="N229" s="18">
        <v>1</v>
      </c>
      <c r="O229" s="18">
        <f t="shared" si="4"/>
        <v>0.15384615384615385</v>
      </c>
      <c r="P229" s="19">
        <f t="shared" si="5"/>
        <v>15.384615384615385</v>
      </c>
      <c r="Q229" s="1" t="s">
        <v>564</v>
      </c>
      <c r="R229" s="1" t="s">
        <v>565</v>
      </c>
    </row>
    <row r="230" spans="1:18" ht="15" customHeight="1" x14ac:dyDescent="0.35">
      <c r="A230" s="1">
        <v>17</v>
      </c>
      <c r="B230" s="1" t="s">
        <v>566</v>
      </c>
      <c r="C230" s="1" t="s">
        <v>163</v>
      </c>
      <c r="D230" s="1">
        <v>2023</v>
      </c>
      <c r="E230" s="1" t="s">
        <v>567</v>
      </c>
      <c r="F230" s="1" t="s">
        <v>22</v>
      </c>
      <c r="G230" s="1" t="s">
        <v>568</v>
      </c>
      <c r="H230" s="1" t="b">
        <f>TRUE()</f>
        <v>1</v>
      </c>
      <c r="I230" s="17">
        <v>0</v>
      </c>
      <c r="J230" s="1" t="s">
        <v>419</v>
      </c>
      <c r="K230" s="1" t="s">
        <v>73</v>
      </c>
      <c r="L230" s="1" t="s">
        <v>29</v>
      </c>
      <c r="M230" s="18">
        <v>1</v>
      </c>
      <c r="N230" s="18">
        <v>0.5</v>
      </c>
      <c r="O230" s="18">
        <f t="shared" si="4"/>
        <v>0.5</v>
      </c>
      <c r="P230" s="19">
        <f t="shared" si="5"/>
        <v>50</v>
      </c>
      <c r="Q230" s="1" t="s">
        <v>420</v>
      </c>
      <c r="R230" s="1" t="s">
        <v>569</v>
      </c>
    </row>
    <row r="231" spans="1:18" ht="15" customHeight="1" x14ac:dyDescent="0.35">
      <c r="A231" s="1">
        <v>17</v>
      </c>
      <c r="B231" s="1" t="s">
        <v>566</v>
      </c>
      <c r="C231" s="1" t="s">
        <v>163</v>
      </c>
      <c r="D231" s="1">
        <v>2023</v>
      </c>
      <c r="E231" s="1" t="s">
        <v>567</v>
      </c>
      <c r="F231" s="1" t="s">
        <v>22</v>
      </c>
      <c r="G231" s="1" t="s">
        <v>570</v>
      </c>
      <c r="H231" s="1" t="b">
        <f>TRUE()</f>
        <v>1</v>
      </c>
      <c r="I231" s="17">
        <v>0</v>
      </c>
      <c r="J231" s="1" t="s">
        <v>419</v>
      </c>
      <c r="K231" s="1" t="s">
        <v>73</v>
      </c>
      <c r="L231" s="1" t="s">
        <v>29</v>
      </c>
      <c r="M231" s="18">
        <v>1</v>
      </c>
      <c r="N231" s="18">
        <v>0.47</v>
      </c>
      <c r="O231" s="18">
        <f t="shared" si="4"/>
        <v>0.47</v>
      </c>
      <c r="P231" s="19">
        <f t="shared" si="5"/>
        <v>47</v>
      </c>
      <c r="Q231" s="1" t="s">
        <v>420</v>
      </c>
      <c r="R231" s="1" t="s">
        <v>569</v>
      </c>
    </row>
    <row r="232" spans="1:18" ht="15" customHeight="1" x14ac:dyDescent="0.35">
      <c r="A232" s="1">
        <v>17</v>
      </c>
      <c r="B232" s="1" t="s">
        <v>566</v>
      </c>
      <c r="C232" s="1" t="s">
        <v>163</v>
      </c>
      <c r="D232" s="1">
        <v>2023</v>
      </c>
      <c r="E232" s="1" t="s">
        <v>567</v>
      </c>
      <c r="F232" s="1" t="s">
        <v>22</v>
      </c>
      <c r="G232" s="1" t="s">
        <v>571</v>
      </c>
      <c r="H232" s="1" t="b">
        <f>TRUE()</f>
        <v>1</v>
      </c>
      <c r="I232" s="17">
        <v>0</v>
      </c>
      <c r="J232" s="1" t="s">
        <v>419</v>
      </c>
      <c r="K232" s="1" t="s">
        <v>73</v>
      </c>
      <c r="L232" s="1" t="s">
        <v>29</v>
      </c>
      <c r="M232" s="18">
        <v>0.95</v>
      </c>
      <c r="N232" s="18">
        <v>0.12</v>
      </c>
      <c r="O232" s="18">
        <f t="shared" si="4"/>
        <v>0.12631578947368421</v>
      </c>
      <c r="P232" s="19">
        <f t="shared" si="5"/>
        <v>12.631578947368421</v>
      </c>
      <c r="Q232" s="1" t="s">
        <v>420</v>
      </c>
      <c r="R232" s="1" t="s">
        <v>569</v>
      </c>
    </row>
    <row r="233" spans="1:18" ht="15" customHeight="1" x14ac:dyDescent="0.35">
      <c r="A233" s="1">
        <v>17</v>
      </c>
      <c r="B233" s="1" t="s">
        <v>566</v>
      </c>
      <c r="C233" s="1" t="s">
        <v>163</v>
      </c>
      <c r="D233" s="1">
        <v>2023</v>
      </c>
      <c r="E233" s="1" t="s">
        <v>567</v>
      </c>
      <c r="F233" s="1" t="s">
        <v>22</v>
      </c>
      <c r="G233" s="1" t="s">
        <v>572</v>
      </c>
      <c r="H233" s="1" t="b">
        <f>TRUE()</f>
        <v>1</v>
      </c>
      <c r="I233" s="17">
        <v>0</v>
      </c>
      <c r="J233" s="1" t="s">
        <v>419</v>
      </c>
      <c r="K233" s="1" t="s">
        <v>73</v>
      </c>
      <c r="L233" s="1" t="s">
        <v>29</v>
      </c>
      <c r="M233" s="18">
        <v>1.08</v>
      </c>
      <c r="N233" s="18">
        <v>0.16</v>
      </c>
      <c r="O233" s="18">
        <f t="shared" si="4"/>
        <v>0.14814814814814814</v>
      </c>
      <c r="P233" s="19">
        <f t="shared" si="5"/>
        <v>14.814814814814813</v>
      </c>
      <c r="Q233" s="1" t="s">
        <v>420</v>
      </c>
      <c r="R233" s="1" t="s">
        <v>569</v>
      </c>
    </row>
    <row r="234" spans="1:18" ht="15" customHeight="1" x14ac:dyDescent="0.35">
      <c r="A234" s="1">
        <v>17</v>
      </c>
      <c r="B234" s="1" t="s">
        <v>566</v>
      </c>
      <c r="C234" s="1" t="s">
        <v>163</v>
      </c>
      <c r="D234" s="1">
        <v>2023</v>
      </c>
      <c r="E234" s="1" t="s">
        <v>567</v>
      </c>
      <c r="F234" s="1" t="s">
        <v>22</v>
      </c>
      <c r="G234" s="1" t="s">
        <v>573</v>
      </c>
      <c r="H234" s="1" t="b">
        <f>TRUE()</f>
        <v>1</v>
      </c>
      <c r="I234" s="17">
        <v>0</v>
      </c>
      <c r="J234" s="1" t="s">
        <v>419</v>
      </c>
      <c r="K234" s="1" t="s">
        <v>73</v>
      </c>
      <c r="L234" s="1" t="s">
        <v>29</v>
      </c>
      <c r="M234" s="18">
        <v>1</v>
      </c>
      <c r="N234" s="18">
        <v>0.26</v>
      </c>
      <c r="O234" s="18">
        <f t="shared" si="4"/>
        <v>0.26</v>
      </c>
      <c r="P234" s="19">
        <f t="shared" si="5"/>
        <v>26</v>
      </c>
      <c r="Q234" s="1" t="s">
        <v>420</v>
      </c>
      <c r="R234" s="1" t="s">
        <v>569</v>
      </c>
    </row>
    <row r="235" spans="1:18" ht="15" customHeight="1" x14ac:dyDescent="0.35">
      <c r="A235" s="1">
        <v>17</v>
      </c>
      <c r="B235" s="1" t="s">
        <v>566</v>
      </c>
      <c r="C235" s="1" t="s">
        <v>163</v>
      </c>
      <c r="D235" s="1">
        <v>2023</v>
      </c>
      <c r="E235" s="1" t="s">
        <v>567</v>
      </c>
      <c r="F235" s="1" t="s">
        <v>22</v>
      </c>
      <c r="G235" s="1" t="s">
        <v>574</v>
      </c>
      <c r="H235" s="1" t="b">
        <f>TRUE()</f>
        <v>1</v>
      </c>
      <c r="I235" s="17">
        <v>0</v>
      </c>
      <c r="J235" s="1" t="s">
        <v>419</v>
      </c>
      <c r="K235" s="1" t="s">
        <v>73</v>
      </c>
      <c r="L235" s="1" t="s">
        <v>29</v>
      </c>
      <c r="M235" s="18">
        <v>1</v>
      </c>
      <c r="N235" s="18">
        <v>0.36</v>
      </c>
      <c r="O235" s="18">
        <f t="shared" si="4"/>
        <v>0.36</v>
      </c>
      <c r="P235" s="19">
        <f t="shared" si="5"/>
        <v>36</v>
      </c>
      <c r="Q235" s="1" t="s">
        <v>420</v>
      </c>
      <c r="R235" s="1" t="s">
        <v>569</v>
      </c>
    </row>
    <row r="236" spans="1:18" ht="15" customHeight="1" x14ac:dyDescent="0.35">
      <c r="A236" s="1">
        <v>17</v>
      </c>
      <c r="B236" s="1" t="s">
        <v>566</v>
      </c>
      <c r="C236" s="1" t="s">
        <v>163</v>
      </c>
      <c r="D236" s="1">
        <v>2023</v>
      </c>
      <c r="E236" s="1" t="s">
        <v>567</v>
      </c>
      <c r="F236" s="1" t="s">
        <v>22</v>
      </c>
      <c r="G236" s="1" t="s">
        <v>571</v>
      </c>
      <c r="H236" s="1" t="b">
        <f>TRUE()</f>
        <v>1</v>
      </c>
      <c r="I236" s="17">
        <v>0</v>
      </c>
      <c r="J236" s="1" t="s">
        <v>424</v>
      </c>
      <c r="K236" s="1" t="s">
        <v>73</v>
      </c>
      <c r="L236" s="1" t="s">
        <v>575</v>
      </c>
      <c r="M236" s="18">
        <v>1</v>
      </c>
      <c r="N236" s="18">
        <v>7.8E-2</v>
      </c>
      <c r="O236" s="18">
        <f t="shared" si="4"/>
        <v>7.8E-2</v>
      </c>
      <c r="P236" s="19">
        <f t="shared" si="5"/>
        <v>7.8</v>
      </c>
      <c r="Q236" s="1" t="s">
        <v>576</v>
      </c>
      <c r="R236" s="1" t="s">
        <v>577</v>
      </c>
    </row>
    <row r="237" spans="1:18" ht="15" customHeight="1" x14ac:dyDescent="0.35">
      <c r="A237" s="1">
        <v>17</v>
      </c>
      <c r="B237" s="1" t="s">
        <v>566</v>
      </c>
      <c r="C237" s="1" t="s">
        <v>163</v>
      </c>
      <c r="D237" s="1">
        <v>2023</v>
      </c>
      <c r="E237" s="1" t="s">
        <v>567</v>
      </c>
      <c r="F237" s="1" t="s">
        <v>22</v>
      </c>
      <c r="G237" s="1" t="s">
        <v>572</v>
      </c>
      <c r="H237" s="1" t="b">
        <f>TRUE()</f>
        <v>1</v>
      </c>
      <c r="I237" s="17">
        <v>0</v>
      </c>
      <c r="J237" s="1" t="s">
        <v>424</v>
      </c>
      <c r="K237" s="1" t="s">
        <v>73</v>
      </c>
      <c r="L237" s="1" t="s">
        <v>575</v>
      </c>
      <c r="M237" s="18">
        <v>1</v>
      </c>
      <c r="N237" s="18">
        <v>1.7999999999999999E-2</v>
      </c>
      <c r="O237" s="18">
        <f t="shared" si="4"/>
        <v>1.7999999999999999E-2</v>
      </c>
      <c r="P237" s="19">
        <f t="shared" si="5"/>
        <v>1.7999999999999998</v>
      </c>
      <c r="Q237" s="1" t="s">
        <v>576</v>
      </c>
      <c r="R237" s="1" t="s">
        <v>577</v>
      </c>
    </row>
    <row r="238" spans="1:18" ht="15" customHeight="1" x14ac:dyDescent="0.35">
      <c r="A238" s="1">
        <v>17</v>
      </c>
      <c r="B238" s="1" t="s">
        <v>566</v>
      </c>
      <c r="C238" s="1" t="s">
        <v>163</v>
      </c>
      <c r="D238" s="1">
        <v>2023</v>
      </c>
      <c r="E238" s="1" t="s">
        <v>567</v>
      </c>
      <c r="F238" s="1" t="s">
        <v>22</v>
      </c>
      <c r="G238" s="1" t="s">
        <v>568</v>
      </c>
      <c r="H238" s="1" t="b">
        <f>TRUE()</f>
        <v>1</v>
      </c>
      <c r="I238" s="17">
        <v>0</v>
      </c>
      <c r="J238" s="1" t="s">
        <v>424</v>
      </c>
      <c r="K238" s="1" t="s">
        <v>73</v>
      </c>
      <c r="L238" s="1" t="s">
        <v>575</v>
      </c>
      <c r="M238" s="18">
        <v>1</v>
      </c>
      <c r="N238" s="18">
        <v>0.33700000000000002</v>
      </c>
      <c r="O238" s="18">
        <f t="shared" si="4"/>
        <v>0.33700000000000002</v>
      </c>
      <c r="P238" s="19">
        <f t="shared" si="5"/>
        <v>33.700000000000003</v>
      </c>
      <c r="Q238" s="1" t="s">
        <v>576</v>
      </c>
      <c r="R238" s="1" t="s">
        <v>577</v>
      </c>
    </row>
    <row r="239" spans="1:18" ht="15" customHeight="1" x14ac:dyDescent="0.35">
      <c r="A239" s="1">
        <v>17</v>
      </c>
      <c r="B239" s="1" t="s">
        <v>566</v>
      </c>
      <c r="C239" s="1" t="s">
        <v>163</v>
      </c>
      <c r="D239" s="1">
        <v>2023</v>
      </c>
      <c r="E239" s="1" t="s">
        <v>567</v>
      </c>
      <c r="F239" s="1" t="s">
        <v>22</v>
      </c>
      <c r="G239" s="1" t="s">
        <v>570</v>
      </c>
      <c r="H239" s="1" t="b">
        <f>TRUE()</f>
        <v>1</v>
      </c>
      <c r="I239" s="17">
        <v>0</v>
      </c>
      <c r="J239" s="1" t="s">
        <v>424</v>
      </c>
      <c r="K239" s="1" t="s">
        <v>73</v>
      </c>
      <c r="L239" s="1" t="s">
        <v>575</v>
      </c>
      <c r="M239" s="18">
        <v>1</v>
      </c>
      <c r="N239" s="18">
        <v>0.29099999999999998</v>
      </c>
      <c r="O239" s="18">
        <f t="shared" si="4"/>
        <v>0.29099999999999998</v>
      </c>
      <c r="P239" s="19">
        <f t="shared" si="5"/>
        <v>29.099999999999998</v>
      </c>
      <c r="Q239" s="1" t="s">
        <v>576</v>
      </c>
      <c r="R239" s="1" t="s">
        <v>577</v>
      </c>
    </row>
    <row r="240" spans="1:18" ht="15" customHeight="1" x14ac:dyDescent="0.35">
      <c r="A240" s="1">
        <v>17</v>
      </c>
      <c r="B240" s="1" t="s">
        <v>566</v>
      </c>
      <c r="C240" s="1" t="s">
        <v>163</v>
      </c>
      <c r="D240" s="1">
        <v>2023</v>
      </c>
      <c r="E240" s="1" t="s">
        <v>567</v>
      </c>
      <c r="F240" s="1" t="s">
        <v>22</v>
      </c>
      <c r="G240" s="1" t="s">
        <v>573</v>
      </c>
      <c r="H240" s="1" t="b">
        <f>TRUE()</f>
        <v>1</v>
      </c>
      <c r="I240" s="17">
        <v>0</v>
      </c>
      <c r="J240" s="1" t="s">
        <v>424</v>
      </c>
      <c r="K240" s="1" t="s">
        <v>73</v>
      </c>
      <c r="L240" s="1" t="s">
        <v>575</v>
      </c>
      <c r="M240" s="18">
        <v>1</v>
      </c>
      <c r="N240" s="18">
        <v>0.17699999999999999</v>
      </c>
      <c r="O240" s="18">
        <f t="shared" si="4"/>
        <v>0.17699999999999999</v>
      </c>
      <c r="P240" s="19">
        <f t="shared" si="5"/>
        <v>17.7</v>
      </c>
      <c r="Q240" s="1" t="s">
        <v>576</v>
      </c>
      <c r="R240" s="1" t="s">
        <v>577</v>
      </c>
    </row>
    <row r="241" spans="1:18" ht="15" customHeight="1" x14ac:dyDescent="0.35">
      <c r="A241" s="1">
        <v>17</v>
      </c>
      <c r="B241" s="1" t="s">
        <v>566</v>
      </c>
      <c r="C241" s="1" t="s">
        <v>163</v>
      </c>
      <c r="D241" s="1">
        <v>2023</v>
      </c>
      <c r="E241" s="1" t="s">
        <v>567</v>
      </c>
      <c r="F241" s="1" t="s">
        <v>22</v>
      </c>
      <c r="G241" s="1" t="s">
        <v>574</v>
      </c>
      <c r="H241" s="1" t="b">
        <f>TRUE()</f>
        <v>1</v>
      </c>
      <c r="I241" s="17">
        <v>0</v>
      </c>
      <c r="J241" s="1" t="s">
        <v>424</v>
      </c>
      <c r="K241" s="1" t="s">
        <v>73</v>
      </c>
      <c r="L241" s="1" t="s">
        <v>575</v>
      </c>
      <c r="M241" s="18">
        <v>1</v>
      </c>
      <c r="N241" s="18">
        <v>0.14799999999999999</v>
      </c>
      <c r="O241" s="18">
        <f t="shared" si="4"/>
        <v>0.14799999999999999</v>
      </c>
      <c r="P241" s="19">
        <f t="shared" si="5"/>
        <v>14.799999999999999</v>
      </c>
      <c r="Q241" s="1" t="s">
        <v>576</v>
      </c>
      <c r="R241" s="1" t="s">
        <v>577</v>
      </c>
    </row>
    <row r="242" spans="1:18" ht="15" customHeight="1" x14ac:dyDescent="0.35">
      <c r="A242" s="1">
        <v>17</v>
      </c>
      <c r="B242" s="1" t="s">
        <v>566</v>
      </c>
      <c r="C242" s="1" t="s">
        <v>163</v>
      </c>
      <c r="D242" s="1">
        <v>2023</v>
      </c>
      <c r="E242" s="1" t="s">
        <v>567</v>
      </c>
      <c r="F242" s="1" t="s">
        <v>22</v>
      </c>
      <c r="G242" s="1" t="s">
        <v>571</v>
      </c>
      <c r="H242" s="1" t="b">
        <f>TRUE()</f>
        <v>1</v>
      </c>
      <c r="I242" s="17">
        <v>0</v>
      </c>
      <c r="J242" s="1" t="s">
        <v>442</v>
      </c>
      <c r="K242" s="1" t="s">
        <v>73</v>
      </c>
      <c r="L242" s="1" t="s">
        <v>578</v>
      </c>
      <c r="M242" s="18">
        <v>1</v>
      </c>
      <c r="N242" s="18">
        <v>1.0009999999999999</v>
      </c>
      <c r="O242" s="18">
        <f t="shared" si="4"/>
        <v>1.0009999999999999</v>
      </c>
      <c r="P242" s="19">
        <f t="shared" si="5"/>
        <v>100.1</v>
      </c>
      <c r="Q242" s="1" t="s">
        <v>579</v>
      </c>
      <c r="R242" s="1" t="s">
        <v>580</v>
      </c>
    </row>
    <row r="243" spans="1:18" ht="15" customHeight="1" x14ac:dyDescent="0.35">
      <c r="A243" s="1">
        <v>17</v>
      </c>
      <c r="B243" s="1" t="s">
        <v>566</v>
      </c>
      <c r="C243" s="1" t="s">
        <v>163</v>
      </c>
      <c r="D243" s="1">
        <v>2023</v>
      </c>
      <c r="E243" s="1" t="s">
        <v>567</v>
      </c>
      <c r="F243" s="1" t="s">
        <v>22</v>
      </c>
      <c r="G243" s="1" t="s">
        <v>572</v>
      </c>
      <c r="H243" s="1" t="b">
        <f>TRUE()</f>
        <v>1</v>
      </c>
      <c r="I243" s="17">
        <v>0</v>
      </c>
      <c r="J243" s="1" t="s">
        <v>442</v>
      </c>
      <c r="K243" s="1" t="s">
        <v>73</v>
      </c>
      <c r="L243" s="1" t="s">
        <v>578</v>
      </c>
      <c r="M243" s="18">
        <v>1</v>
      </c>
      <c r="N243" s="18">
        <v>0.155</v>
      </c>
      <c r="O243" s="18">
        <f t="shared" si="4"/>
        <v>0.155</v>
      </c>
      <c r="P243" s="19">
        <f t="shared" si="5"/>
        <v>15.5</v>
      </c>
      <c r="Q243" s="1" t="s">
        <v>579</v>
      </c>
      <c r="R243" s="1" t="s">
        <v>580</v>
      </c>
    </row>
    <row r="244" spans="1:18" ht="15" customHeight="1" x14ac:dyDescent="0.35">
      <c r="A244" s="1">
        <v>17</v>
      </c>
      <c r="B244" s="1" t="s">
        <v>566</v>
      </c>
      <c r="C244" s="1" t="s">
        <v>163</v>
      </c>
      <c r="D244" s="1">
        <v>2023</v>
      </c>
      <c r="E244" s="1" t="s">
        <v>567</v>
      </c>
      <c r="F244" s="1" t="s">
        <v>22</v>
      </c>
      <c r="G244" s="1" t="s">
        <v>568</v>
      </c>
      <c r="H244" s="1" t="b">
        <f>TRUE()</f>
        <v>1</v>
      </c>
      <c r="I244" s="17">
        <v>0</v>
      </c>
      <c r="J244" s="1" t="s">
        <v>442</v>
      </c>
      <c r="K244" s="1" t="s">
        <v>73</v>
      </c>
      <c r="L244" s="1" t="s">
        <v>578</v>
      </c>
      <c r="M244" s="18">
        <v>1</v>
      </c>
      <c r="N244" s="18">
        <v>1.2989999999999999</v>
      </c>
      <c r="O244" s="18">
        <f t="shared" si="4"/>
        <v>1.2989999999999999</v>
      </c>
      <c r="P244" s="19">
        <f t="shared" si="5"/>
        <v>129.9</v>
      </c>
      <c r="Q244" s="1" t="s">
        <v>579</v>
      </c>
      <c r="R244" s="1" t="s">
        <v>580</v>
      </c>
    </row>
    <row r="245" spans="1:18" ht="15" customHeight="1" x14ac:dyDescent="0.35">
      <c r="A245" s="1">
        <v>17</v>
      </c>
      <c r="B245" s="1" t="s">
        <v>566</v>
      </c>
      <c r="C245" s="1" t="s">
        <v>163</v>
      </c>
      <c r="D245" s="1">
        <v>2023</v>
      </c>
      <c r="E245" s="1" t="s">
        <v>567</v>
      </c>
      <c r="F245" s="1" t="s">
        <v>22</v>
      </c>
      <c r="G245" s="1" t="s">
        <v>570</v>
      </c>
      <c r="H245" s="1" t="b">
        <f>TRUE()</f>
        <v>1</v>
      </c>
      <c r="I245" s="17">
        <v>0</v>
      </c>
      <c r="J245" s="1" t="s">
        <v>442</v>
      </c>
      <c r="K245" s="1" t="s">
        <v>73</v>
      </c>
      <c r="L245" s="1" t="s">
        <v>578</v>
      </c>
      <c r="M245" s="18">
        <v>1</v>
      </c>
      <c r="N245" s="18">
        <v>1.208</v>
      </c>
      <c r="O245" s="18">
        <f t="shared" si="4"/>
        <v>1.208</v>
      </c>
      <c r="P245" s="19">
        <f t="shared" si="5"/>
        <v>120.8</v>
      </c>
      <c r="Q245" s="1" t="s">
        <v>579</v>
      </c>
      <c r="R245" s="1" t="s">
        <v>580</v>
      </c>
    </row>
    <row r="246" spans="1:18" ht="15" customHeight="1" x14ac:dyDescent="0.35">
      <c r="A246" s="1">
        <v>17</v>
      </c>
      <c r="B246" s="1" t="s">
        <v>566</v>
      </c>
      <c r="C246" s="1" t="s">
        <v>163</v>
      </c>
      <c r="D246" s="1">
        <v>2023</v>
      </c>
      <c r="E246" s="1" t="s">
        <v>567</v>
      </c>
      <c r="F246" s="1" t="s">
        <v>22</v>
      </c>
      <c r="G246" s="1" t="s">
        <v>573</v>
      </c>
      <c r="H246" s="1" t="b">
        <f>TRUE()</f>
        <v>1</v>
      </c>
      <c r="I246" s="17">
        <v>0</v>
      </c>
      <c r="J246" s="1" t="s">
        <v>442</v>
      </c>
      <c r="K246" s="1" t="s">
        <v>73</v>
      </c>
      <c r="L246" s="1" t="s">
        <v>578</v>
      </c>
      <c r="M246" s="18">
        <v>1</v>
      </c>
      <c r="N246" s="18">
        <v>0.95299999999999996</v>
      </c>
      <c r="O246" s="18">
        <f t="shared" si="4"/>
        <v>0.95299999999999996</v>
      </c>
      <c r="P246" s="19">
        <f t="shared" si="5"/>
        <v>95.3</v>
      </c>
      <c r="Q246" s="1" t="s">
        <v>579</v>
      </c>
      <c r="R246" s="1" t="s">
        <v>580</v>
      </c>
    </row>
    <row r="247" spans="1:18" ht="15" customHeight="1" x14ac:dyDescent="0.35">
      <c r="A247" s="1">
        <v>17</v>
      </c>
      <c r="B247" s="1" t="s">
        <v>566</v>
      </c>
      <c r="C247" s="1" t="s">
        <v>163</v>
      </c>
      <c r="D247" s="1">
        <v>2023</v>
      </c>
      <c r="E247" s="1" t="s">
        <v>567</v>
      </c>
      <c r="F247" s="1" t="s">
        <v>22</v>
      </c>
      <c r="G247" s="1" t="s">
        <v>574</v>
      </c>
      <c r="H247" s="1" t="b">
        <f>TRUE()</f>
        <v>1</v>
      </c>
      <c r="I247" s="17">
        <v>0</v>
      </c>
      <c r="J247" s="1" t="s">
        <v>442</v>
      </c>
      <c r="K247" s="1" t="s">
        <v>73</v>
      </c>
      <c r="L247" s="1" t="s">
        <v>578</v>
      </c>
      <c r="M247" s="18">
        <v>1</v>
      </c>
      <c r="N247" s="18">
        <v>1.0089999999999999</v>
      </c>
      <c r="O247" s="18">
        <f t="shared" si="4"/>
        <v>1.0089999999999999</v>
      </c>
      <c r="P247" s="19">
        <f t="shared" si="5"/>
        <v>100.89999999999999</v>
      </c>
      <c r="Q247" s="1" t="s">
        <v>579</v>
      </c>
      <c r="R247" s="1" t="s">
        <v>580</v>
      </c>
    </row>
    <row r="248" spans="1:18" ht="15" customHeight="1" x14ac:dyDescent="0.35">
      <c r="A248" s="1">
        <v>18</v>
      </c>
      <c r="B248" s="1" t="s">
        <v>581</v>
      </c>
      <c r="C248" s="1" t="s">
        <v>32</v>
      </c>
      <c r="D248" s="1">
        <v>2023</v>
      </c>
      <c r="E248" s="1" t="s">
        <v>582</v>
      </c>
      <c r="F248" s="1" t="s">
        <v>22</v>
      </c>
      <c r="G248" s="1" t="s">
        <v>175</v>
      </c>
      <c r="H248" s="1" t="b">
        <f>TRUE()</f>
        <v>1</v>
      </c>
      <c r="I248" s="17">
        <v>0</v>
      </c>
      <c r="J248" s="1" t="s">
        <v>424</v>
      </c>
      <c r="K248" s="1" t="s">
        <v>73</v>
      </c>
      <c r="L248" s="1" t="s">
        <v>583</v>
      </c>
      <c r="M248" s="18">
        <v>45000</v>
      </c>
      <c r="N248" s="18">
        <v>20000</v>
      </c>
      <c r="O248" s="18">
        <f t="shared" si="4"/>
        <v>0.44444444444444442</v>
      </c>
      <c r="P248" s="19">
        <f t="shared" si="5"/>
        <v>44.444444444444443</v>
      </c>
      <c r="Q248" s="1" t="s">
        <v>584</v>
      </c>
      <c r="R248" s="1" t="s">
        <v>585</v>
      </c>
    </row>
    <row r="249" spans="1:18" ht="15" customHeight="1" x14ac:dyDescent="0.35">
      <c r="A249" s="1">
        <v>20</v>
      </c>
      <c r="B249" s="1" t="s">
        <v>586</v>
      </c>
      <c r="C249" s="1" t="s">
        <v>187</v>
      </c>
      <c r="D249" s="1">
        <v>2025</v>
      </c>
      <c r="E249" s="1" t="s">
        <v>587</v>
      </c>
      <c r="F249" s="1" t="s">
        <v>22</v>
      </c>
      <c r="G249" s="1" t="s">
        <v>588</v>
      </c>
      <c r="H249" s="1" t="b">
        <f>TRUE()</f>
        <v>1</v>
      </c>
      <c r="I249" s="17">
        <v>0</v>
      </c>
      <c r="J249" s="1" t="s">
        <v>442</v>
      </c>
      <c r="K249" s="1" t="s">
        <v>73</v>
      </c>
      <c r="L249" s="1" t="s">
        <v>589</v>
      </c>
      <c r="M249" s="18">
        <v>0.98</v>
      </c>
      <c r="N249" s="18">
        <v>0.35</v>
      </c>
      <c r="O249" s="18">
        <f t="shared" si="4"/>
        <v>0.35714285714285715</v>
      </c>
      <c r="P249" s="19">
        <f t="shared" si="5"/>
        <v>35.714285714285715</v>
      </c>
      <c r="Q249" s="1" t="s">
        <v>590</v>
      </c>
      <c r="R249" s="1" t="s">
        <v>591</v>
      </c>
    </row>
    <row r="250" spans="1:18" ht="15" customHeight="1" x14ac:dyDescent="0.35">
      <c r="A250" s="1">
        <v>20</v>
      </c>
      <c r="B250" s="1" t="s">
        <v>586</v>
      </c>
      <c r="C250" s="1" t="s">
        <v>187</v>
      </c>
      <c r="D250" s="1">
        <v>2025</v>
      </c>
      <c r="E250" s="1" t="s">
        <v>587</v>
      </c>
      <c r="F250" s="1" t="s">
        <v>22</v>
      </c>
      <c r="G250" s="1" t="s">
        <v>592</v>
      </c>
      <c r="H250" s="1" t="b">
        <f>TRUE()</f>
        <v>1</v>
      </c>
      <c r="I250" s="17">
        <v>0</v>
      </c>
      <c r="J250" s="1" t="s">
        <v>442</v>
      </c>
      <c r="K250" s="1" t="s">
        <v>73</v>
      </c>
      <c r="L250" s="1" t="s">
        <v>589</v>
      </c>
      <c r="M250" s="18">
        <v>0.98</v>
      </c>
      <c r="N250" s="18">
        <v>0.42</v>
      </c>
      <c r="O250" s="18">
        <f t="shared" si="4"/>
        <v>0.42857142857142855</v>
      </c>
      <c r="P250" s="19">
        <f t="shared" si="5"/>
        <v>42.857142857142854</v>
      </c>
      <c r="Q250" s="1" t="s">
        <v>590</v>
      </c>
      <c r="R250" s="1" t="s">
        <v>591</v>
      </c>
    </row>
    <row r="251" spans="1:18" ht="15" customHeight="1" x14ac:dyDescent="0.35">
      <c r="A251" s="1">
        <v>20</v>
      </c>
      <c r="B251" s="1" t="s">
        <v>586</v>
      </c>
      <c r="C251" s="1" t="s">
        <v>187</v>
      </c>
      <c r="D251" s="1">
        <v>2025</v>
      </c>
      <c r="E251" s="1" t="s">
        <v>587</v>
      </c>
      <c r="F251" s="1" t="s">
        <v>22</v>
      </c>
      <c r="G251" s="1" t="s">
        <v>593</v>
      </c>
      <c r="H251" s="1" t="b">
        <f>TRUE()</f>
        <v>1</v>
      </c>
      <c r="I251" s="17">
        <v>0</v>
      </c>
      <c r="J251" s="1" t="s">
        <v>442</v>
      </c>
      <c r="K251" s="1" t="s">
        <v>73</v>
      </c>
      <c r="L251" s="1" t="s">
        <v>589</v>
      </c>
      <c r="M251" s="18">
        <v>0.98</v>
      </c>
      <c r="N251" s="18">
        <v>0.53</v>
      </c>
      <c r="O251" s="18">
        <f t="shared" si="4"/>
        <v>0.54081632653061229</v>
      </c>
      <c r="P251" s="19">
        <f t="shared" si="5"/>
        <v>54.081632653061227</v>
      </c>
      <c r="Q251" s="1" t="s">
        <v>590</v>
      </c>
      <c r="R251" s="1" t="s">
        <v>591</v>
      </c>
    </row>
    <row r="252" spans="1:18" ht="15" customHeight="1" x14ac:dyDescent="0.35">
      <c r="A252" s="1">
        <v>20</v>
      </c>
      <c r="B252" s="1" t="s">
        <v>586</v>
      </c>
      <c r="C252" s="1" t="s">
        <v>187</v>
      </c>
      <c r="D252" s="1">
        <v>2025</v>
      </c>
      <c r="E252" s="1" t="s">
        <v>587</v>
      </c>
      <c r="F252" s="1" t="s">
        <v>22</v>
      </c>
      <c r="G252" s="1" t="s">
        <v>594</v>
      </c>
      <c r="H252" s="1" t="b">
        <f>TRUE()</f>
        <v>1</v>
      </c>
      <c r="I252" s="17">
        <v>0</v>
      </c>
      <c r="J252" s="1" t="s">
        <v>442</v>
      </c>
      <c r="K252" s="1" t="s">
        <v>73</v>
      </c>
      <c r="L252" s="1" t="s">
        <v>589</v>
      </c>
      <c r="M252" s="18">
        <v>0.98</v>
      </c>
      <c r="N252" s="18">
        <v>0.55000000000000004</v>
      </c>
      <c r="O252" s="18">
        <f t="shared" si="4"/>
        <v>0.56122448979591844</v>
      </c>
      <c r="P252" s="19">
        <f t="shared" si="5"/>
        <v>56.122448979591844</v>
      </c>
      <c r="Q252" s="1" t="s">
        <v>590</v>
      </c>
      <c r="R252" s="1" t="s">
        <v>591</v>
      </c>
    </row>
    <row r="253" spans="1:18" ht="15" customHeight="1" x14ac:dyDescent="0.35">
      <c r="A253" s="1">
        <v>20</v>
      </c>
      <c r="B253" s="1" t="s">
        <v>586</v>
      </c>
      <c r="C253" s="1" t="s">
        <v>187</v>
      </c>
      <c r="D253" s="1">
        <v>2025</v>
      </c>
      <c r="E253" s="1" t="s">
        <v>587</v>
      </c>
      <c r="F253" s="1" t="s">
        <v>22</v>
      </c>
      <c r="G253" s="1" t="s">
        <v>595</v>
      </c>
      <c r="H253" s="1" t="b">
        <f>TRUE()</f>
        <v>1</v>
      </c>
      <c r="I253" s="17">
        <v>0</v>
      </c>
      <c r="J253" s="1" t="s">
        <v>442</v>
      </c>
      <c r="K253" s="1" t="s">
        <v>73</v>
      </c>
      <c r="L253" s="1" t="s">
        <v>589</v>
      </c>
      <c r="M253" s="18">
        <v>0.98</v>
      </c>
      <c r="N253" s="18">
        <v>0.6</v>
      </c>
      <c r="O253" s="18">
        <f t="shared" si="4"/>
        <v>0.61224489795918369</v>
      </c>
      <c r="P253" s="19">
        <f t="shared" si="5"/>
        <v>61.224489795918366</v>
      </c>
      <c r="Q253" s="1" t="s">
        <v>590</v>
      </c>
      <c r="R253" s="1" t="s">
        <v>591</v>
      </c>
    </row>
    <row r="254" spans="1:18" ht="15" customHeight="1" x14ac:dyDescent="0.35">
      <c r="A254" s="1">
        <v>20</v>
      </c>
      <c r="B254" s="1" t="s">
        <v>586</v>
      </c>
      <c r="C254" s="1" t="s">
        <v>187</v>
      </c>
      <c r="D254" s="1">
        <v>2025</v>
      </c>
      <c r="E254" s="1" t="s">
        <v>587</v>
      </c>
      <c r="F254" s="1" t="s">
        <v>22</v>
      </c>
      <c r="G254" s="1" t="s">
        <v>596</v>
      </c>
      <c r="H254" s="1" t="b">
        <f>TRUE()</f>
        <v>1</v>
      </c>
      <c r="I254" s="17">
        <v>0</v>
      </c>
      <c r="J254" s="1" t="s">
        <v>442</v>
      </c>
      <c r="K254" s="1" t="s">
        <v>73</v>
      </c>
      <c r="L254" s="1" t="s">
        <v>589</v>
      </c>
      <c r="M254" s="18">
        <v>0.98</v>
      </c>
      <c r="N254" s="18">
        <v>0.62</v>
      </c>
      <c r="O254" s="18">
        <f t="shared" si="4"/>
        <v>0.63265306122448983</v>
      </c>
      <c r="P254" s="19">
        <f t="shared" si="5"/>
        <v>63.265306122448983</v>
      </c>
      <c r="Q254" s="1" t="s">
        <v>590</v>
      </c>
      <c r="R254" s="1" t="s">
        <v>591</v>
      </c>
    </row>
    <row r="255" spans="1:18" ht="15" customHeight="1" x14ac:dyDescent="0.35">
      <c r="A255" s="1">
        <v>20</v>
      </c>
      <c r="B255" s="1" t="s">
        <v>586</v>
      </c>
      <c r="C255" s="1" t="s">
        <v>187</v>
      </c>
      <c r="D255" s="1">
        <v>2025</v>
      </c>
      <c r="E255" s="1" t="s">
        <v>587</v>
      </c>
      <c r="F255" s="1" t="s">
        <v>22</v>
      </c>
      <c r="G255" s="1" t="s">
        <v>597</v>
      </c>
      <c r="H255" s="1" t="b">
        <f>TRUE()</f>
        <v>1</v>
      </c>
      <c r="I255" s="17">
        <v>0</v>
      </c>
      <c r="J255" s="1" t="s">
        <v>442</v>
      </c>
      <c r="K255" s="1" t="s">
        <v>73</v>
      </c>
      <c r="L255" s="1" t="s">
        <v>589</v>
      </c>
      <c r="M255" s="18">
        <v>0.98</v>
      </c>
      <c r="N255" s="18">
        <v>0.65</v>
      </c>
      <c r="O255" s="18">
        <f t="shared" si="4"/>
        <v>0.66326530612244905</v>
      </c>
      <c r="P255" s="19">
        <f t="shared" si="5"/>
        <v>66.326530612244909</v>
      </c>
      <c r="Q255" s="1" t="s">
        <v>590</v>
      </c>
      <c r="R255" s="1" t="s">
        <v>591</v>
      </c>
    </row>
    <row r="256" spans="1:18" ht="15" customHeight="1" x14ac:dyDescent="0.35">
      <c r="A256" s="1">
        <v>20</v>
      </c>
      <c r="B256" s="1" t="s">
        <v>586</v>
      </c>
      <c r="C256" s="1" t="s">
        <v>187</v>
      </c>
      <c r="D256" s="1">
        <v>2025</v>
      </c>
      <c r="E256" s="1" t="s">
        <v>587</v>
      </c>
      <c r="F256" s="1" t="s">
        <v>22</v>
      </c>
      <c r="G256" s="1" t="s">
        <v>598</v>
      </c>
      <c r="H256" s="1" t="b">
        <f>TRUE()</f>
        <v>1</v>
      </c>
      <c r="I256" s="17">
        <v>0</v>
      </c>
      <c r="J256" s="1" t="s">
        <v>442</v>
      </c>
      <c r="K256" s="1" t="s">
        <v>73</v>
      </c>
      <c r="L256" s="1" t="s">
        <v>589</v>
      </c>
      <c r="M256" s="18">
        <v>0.98</v>
      </c>
      <c r="N256" s="18">
        <v>0.67</v>
      </c>
      <c r="O256" s="18">
        <f t="shared" si="4"/>
        <v>0.68367346938775519</v>
      </c>
      <c r="P256" s="19">
        <f t="shared" si="5"/>
        <v>68.367346938775526</v>
      </c>
      <c r="Q256" s="1" t="s">
        <v>590</v>
      </c>
      <c r="R256" s="1" t="s">
        <v>591</v>
      </c>
    </row>
    <row r="257" spans="1:18" ht="15" customHeight="1" x14ac:dyDescent="0.35">
      <c r="A257" s="1">
        <v>20</v>
      </c>
      <c r="B257" s="1" t="s">
        <v>586</v>
      </c>
      <c r="C257" s="1" t="s">
        <v>187</v>
      </c>
      <c r="D257" s="1">
        <v>2025</v>
      </c>
      <c r="E257" s="1" t="s">
        <v>587</v>
      </c>
      <c r="F257" s="1" t="s">
        <v>22</v>
      </c>
      <c r="G257" s="1" t="s">
        <v>599</v>
      </c>
      <c r="H257" s="1" t="b">
        <f>TRUE()</f>
        <v>1</v>
      </c>
      <c r="I257" s="17">
        <v>0</v>
      </c>
      <c r="J257" s="1" t="s">
        <v>442</v>
      </c>
      <c r="K257" s="1" t="s">
        <v>73</v>
      </c>
      <c r="L257" s="1" t="s">
        <v>589</v>
      </c>
      <c r="M257" s="18">
        <v>0.98</v>
      </c>
      <c r="N257" s="18">
        <v>0.91</v>
      </c>
      <c r="O257" s="18">
        <f t="shared" si="4"/>
        <v>0.9285714285714286</v>
      </c>
      <c r="P257" s="19">
        <f t="shared" si="5"/>
        <v>92.857142857142861</v>
      </c>
      <c r="Q257" s="1" t="s">
        <v>590</v>
      </c>
      <c r="R257" s="1" t="s">
        <v>591</v>
      </c>
    </row>
    <row r="258" spans="1:18" ht="15" customHeight="1" x14ac:dyDescent="0.35">
      <c r="A258" s="1">
        <v>20</v>
      </c>
      <c r="B258" s="1" t="s">
        <v>586</v>
      </c>
      <c r="C258" s="1" t="s">
        <v>187</v>
      </c>
      <c r="D258" s="1">
        <v>2025</v>
      </c>
      <c r="E258" s="1" t="s">
        <v>587</v>
      </c>
      <c r="F258" s="1" t="s">
        <v>22</v>
      </c>
      <c r="G258" s="1" t="s">
        <v>600</v>
      </c>
      <c r="H258" s="1" t="b">
        <f>TRUE()</f>
        <v>1</v>
      </c>
      <c r="I258" s="17">
        <v>0</v>
      </c>
      <c r="J258" s="1" t="s">
        <v>442</v>
      </c>
      <c r="K258" s="1" t="s">
        <v>73</v>
      </c>
      <c r="L258" s="1" t="s">
        <v>589</v>
      </c>
      <c r="M258" s="18">
        <v>0.98</v>
      </c>
      <c r="N258" s="18">
        <v>1.1299999999999999</v>
      </c>
      <c r="O258" s="18">
        <f t="shared" si="4"/>
        <v>1.1530612244897958</v>
      </c>
      <c r="P258" s="19">
        <f t="shared" si="5"/>
        <v>115.30612244897958</v>
      </c>
      <c r="Q258" s="1" t="s">
        <v>590</v>
      </c>
      <c r="R258" s="1" t="s">
        <v>591</v>
      </c>
    </row>
    <row r="259" spans="1:18" ht="15" customHeight="1" x14ac:dyDescent="0.35">
      <c r="A259" s="1">
        <v>20</v>
      </c>
      <c r="B259" s="1" t="s">
        <v>586</v>
      </c>
      <c r="C259" s="1" t="s">
        <v>187</v>
      </c>
      <c r="D259" s="1">
        <v>2025</v>
      </c>
      <c r="E259" s="1" t="s">
        <v>587</v>
      </c>
      <c r="F259" s="1" t="s">
        <v>22</v>
      </c>
      <c r="G259" s="1" t="s">
        <v>601</v>
      </c>
      <c r="H259" s="1" t="b">
        <f>TRUE()</f>
        <v>1</v>
      </c>
      <c r="I259" s="17">
        <v>0</v>
      </c>
      <c r="J259" s="1" t="s">
        <v>442</v>
      </c>
      <c r="K259" s="1" t="s">
        <v>73</v>
      </c>
      <c r="L259" s="1" t="s">
        <v>589</v>
      </c>
      <c r="M259" s="18">
        <v>0.98</v>
      </c>
      <c r="N259" s="18">
        <v>0.24</v>
      </c>
      <c r="O259" s="18">
        <f t="shared" si="4"/>
        <v>0.24489795918367346</v>
      </c>
      <c r="P259" s="19">
        <f t="shared" si="5"/>
        <v>24.489795918367346</v>
      </c>
      <c r="Q259" s="1" t="s">
        <v>590</v>
      </c>
      <c r="R259" s="1" t="s">
        <v>591</v>
      </c>
    </row>
    <row r="260" spans="1:18" ht="15" customHeight="1" x14ac:dyDescent="0.35">
      <c r="A260" s="1">
        <v>20</v>
      </c>
      <c r="B260" s="1" t="s">
        <v>586</v>
      </c>
      <c r="C260" s="1" t="s">
        <v>187</v>
      </c>
      <c r="D260" s="1">
        <v>2025</v>
      </c>
      <c r="E260" s="1" t="s">
        <v>587</v>
      </c>
      <c r="F260" s="1" t="s">
        <v>22</v>
      </c>
      <c r="G260" s="1" t="s">
        <v>602</v>
      </c>
      <c r="H260" s="1" t="b">
        <f>TRUE()</f>
        <v>1</v>
      </c>
      <c r="I260" s="17">
        <v>0</v>
      </c>
      <c r="J260" s="1" t="s">
        <v>442</v>
      </c>
      <c r="K260" s="1" t="s">
        <v>73</v>
      </c>
      <c r="L260" s="1" t="s">
        <v>589</v>
      </c>
      <c r="M260" s="18">
        <v>0.98</v>
      </c>
      <c r="N260" s="18">
        <v>0.65</v>
      </c>
      <c r="O260" s="18">
        <f t="shared" si="4"/>
        <v>0.66326530612244905</v>
      </c>
      <c r="P260" s="19">
        <f t="shared" si="5"/>
        <v>66.326530612244909</v>
      </c>
      <c r="Q260" s="1" t="s">
        <v>590</v>
      </c>
      <c r="R260" s="1" t="s">
        <v>591</v>
      </c>
    </row>
    <row r="261" spans="1:18" ht="15" customHeight="1" x14ac:dyDescent="0.35">
      <c r="A261" s="1">
        <v>20</v>
      </c>
      <c r="B261" s="1" t="s">
        <v>586</v>
      </c>
      <c r="C261" s="1" t="s">
        <v>187</v>
      </c>
      <c r="D261" s="1">
        <v>2025</v>
      </c>
      <c r="E261" s="1" t="s">
        <v>587</v>
      </c>
      <c r="F261" s="1" t="s">
        <v>22</v>
      </c>
      <c r="G261" s="1" t="s">
        <v>603</v>
      </c>
      <c r="H261" s="1" t="b">
        <f>TRUE()</f>
        <v>1</v>
      </c>
      <c r="I261" s="17">
        <v>0</v>
      </c>
      <c r="J261" s="1" t="s">
        <v>442</v>
      </c>
      <c r="K261" s="1" t="s">
        <v>73</v>
      </c>
      <c r="L261" s="1" t="s">
        <v>589</v>
      </c>
      <c r="M261" s="18">
        <v>0.98</v>
      </c>
      <c r="N261" s="18">
        <v>0.72</v>
      </c>
      <c r="O261" s="18">
        <f t="shared" si="4"/>
        <v>0.73469387755102045</v>
      </c>
      <c r="P261" s="19">
        <f t="shared" si="5"/>
        <v>73.469387755102048</v>
      </c>
      <c r="Q261" s="1" t="s">
        <v>590</v>
      </c>
      <c r="R261" s="1" t="s">
        <v>591</v>
      </c>
    </row>
    <row r="262" spans="1:18" ht="15" customHeight="1" x14ac:dyDescent="0.35">
      <c r="A262" s="1">
        <v>20</v>
      </c>
      <c r="B262" s="1" t="s">
        <v>586</v>
      </c>
      <c r="C262" s="1" t="s">
        <v>187</v>
      </c>
      <c r="D262" s="1">
        <v>2025</v>
      </c>
      <c r="E262" s="1" t="s">
        <v>587</v>
      </c>
      <c r="F262" s="1" t="s">
        <v>22</v>
      </c>
      <c r="G262" s="1" t="s">
        <v>604</v>
      </c>
      <c r="H262" s="1" t="b">
        <f>TRUE()</f>
        <v>1</v>
      </c>
      <c r="I262" s="17">
        <v>0</v>
      </c>
      <c r="J262" s="1" t="s">
        <v>442</v>
      </c>
      <c r="K262" s="1" t="s">
        <v>73</v>
      </c>
      <c r="L262" s="1" t="s">
        <v>589</v>
      </c>
      <c r="M262" s="18">
        <v>0.98</v>
      </c>
      <c r="N262" s="18">
        <v>0.71</v>
      </c>
      <c r="O262" s="18">
        <f t="shared" si="4"/>
        <v>0.72448979591836737</v>
      </c>
      <c r="P262" s="19">
        <f t="shared" si="5"/>
        <v>72.448979591836732</v>
      </c>
      <c r="Q262" s="1" t="s">
        <v>590</v>
      </c>
      <c r="R262" s="1" t="s">
        <v>591</v>
      </c>
    </row>
    <row r="263" spans="1:18" ht="15" customHeight="1" x14ac:dyDescent="0.35">
      <c r="A263" s="1">
        <v>20</v>
      </c>
      <c r="B263" s="1" t="s">
        <v>586</v>
      </c>
      <c r="C263" s="1" t="s">
        <v>187</v>
      </c>
      <c r="D263" s="1">
        <v>2025</v>
      </c>
      <c r="E263" s="1" t="s">
        <v>587</v>
      </c>
      <c r="F263" s="1" t="s">
        <v>22</v>
      </c>
      <c r="G263" s="1" t="s">
        <v>601</v>
      </c>
      <c r="H263" s="1" t="b">
        <f>TRUE()</f>
        <v>1</v>
      </c>
      <c r="I263" s="17">
        <v>0</v>
      </c>
      <c r="J263" s="1" t="s">
        <v>419</v>
      </c>
      <c r="K263" s="1" t="s">
        <v>605</v>
      </c>
      <c r="L263" s="1" t="s">
        <v>29</v>
      </c>
      <c r="M263" s="18">
        <v>1.03</v>
      </c>
      <c r="N263" s="18">
        <v>0.05</v>
      </c>
      <c r="O263" s="18">
        <f t="shared" si="4"/>
        <v>4.8543689320388349E-2</v>
      </c>
      <c r="P263" s="19">
        <f t="shared" si="5"/>
        <v>4.8543689320388346</v>
      </c>
      <c r="Q263" s="1" t="s">
        <v>420</v>
      </c>
      <c r="R263" s="1" t="s">
        <v>606</v>
      </c>
    </row>
    <row r="264" spans="1:18" ht="15" customHeight="1" x14ac:dyDescent="0.35">
      <c r="A264" s="1">
        <v>20</v>
      </c>
      <c r="B264" s="1" t="s">
        <v>586</v>
      </c>
      <c r="C264" s="1" t="s">
        <v>187</v>
      </c>
      <c r="D264" s="1">
        <v>2025</v>
      </c>
      <c r="E264" s="1" t="s">
        <v>587</v>
      </c>
      <c r="F264" s="1" t="s">
        <v>22</v>
      </c>
      <c r="G264" s="1" t="s">
        <v>602</v>
      </c>
      <c r="H264" s="1" t="b">
        <f>TRUE()</f>
        <v>1</v>
      </c>
      <c r="I264" s="17">
        <v>0</v>
      </c>
      <c r="J264" s="1" t="s">
        <v>419</v>
      </c>
      <c r="K264" s="1" t="s">
        <v>605</v>
      </c>
      <c r="L264" s="1" t="s">
        <v>29</v>
      </c>
      <c r="M264" s="18">
        <v>1.02</v>
      </c>
      <c r="N264" s="18">
        <v>0.52</v>
      </c>
      <c r="O264" s="18">
        <f t="shared" si="4"/>
        <v>0.50980392156862742</v>
      </c>
      <c r="P264" s="19">
        <f t="shared" si="5"/>
        <v>50.980392156862742</v>
      </c>
      <c r="Q264" s="1" t="s">
        <v>420</v>
      </c>
      <c r="R264" s="1" t="s">
        <v>606</v>
      </c>
    </row>
    <row r="265" spans="1:18" ht="15" customHeight="1" x14ac:dyDescent="0.35">
      <c r="A265" s="1">
        <v>20</v>
      </c>
      <c r="B265" s="1" t="s">
        <v>586</v>
      </c>
      <c r="C265" s="1" t="s">
        <v>187</v>
      </c>
      <c r="D265" s="1">
        <v>2025</v>
      </c>
      <c r="E265" s="1" t="s">
        <v>587</v>
      </c>
      <c r="F265" s="1" t="s">
        <v>22</v>
      </c>
      <c r="G265" s="1" t="s">
        <v>603</v>
      </c>
      <c r="H265" s="1" t="b">
        <f>TRUE()</f>
        <v>1</v>
      </c>
      <c r="I265" s="17">
        <v>0</v>
      </c>
      <c r="J265" s="1" t="s">
        <v>419</v>
      </c>
      <c r="K265" s="1" t="s">
        <v>605</v>
      </c>
      <c r="L265" s="1" t="s">
        <v>29</v>
      </c>
      <c r="M265" s="18">
        <v>1.04</v>
      </c>
      <c r="N265" s="18">
        <v>0.79</v>
      </c>
      <c r="O265" s="18">
        <f t="shared" si="4"/>
        <v>0.75961538461538458</v>
      </c>
      <c r="P265" s="19">
        <f t="shared" si="5"/>
        <v>75.961538461538453</v>
      </c>
      <c r="Q265" s="1" t="s">
        <v>420</v>
      </c>
      <c r="R265" s="1" t="s">
        <v>606</v>
      </c>
    </row>
    <row r="266" spans="1:18" ht="15" customHeight="1" x14ac:dyDescent="0.35">
      <c r="A266" s="1">
        <v>20</v>
      </c>
      <c r="B266" s="1" t="s">
        <v>586</v>
      </c>
      <c r="C266" s="1" t="s">
        <v>187</v>
      </c>
      <c r="D266" s="1">
        <v>2025</v>
      </c>
      <c r="E266" s="1" t="s">
        <v>587</v>
      </c>
      <c r="F266" s="1" t="s">
        <v>22</v>
      </c>
      <c r="G266" s="1" t="s">
        <v>604</v>
      </c>
      <c r="H266" s="1" t="b">
        <f>TRUE()</f>
        <v>1</v>
      </c>
      <c r="I266" s="17">
        <v>0</v>
      </c>
      <c r="J266" s="1" t="s">
        <v>419</v>
      </c>
      <c r="K266" s="1" t="s">
        <v>605</v>
      </c>
      <c r="L266" s="1" t="s">
        <v>29</v>
      </c>
      <c r="M266" s="18">
        <v>1.03</v>
      </c>
      <c r="N266" s="18">
        <v>0.21</v>
      </c>
      <c r="O266" s="18">
        <f t="shared" si="4"/>
        <v>0.20388349514563106</v>
      </c>
      <c r="P266" s="19">
        <f t="shared" si="5"/>
        <v>20.388349514563107</v>
      </c>
      <c r="Q266" s="1" t="s">
        <v>420</v>
      </c>
      <c r="R266" s="1" t="s">
        <v>606</v>
      </c>
    </row>
    <row r="267" spans="1:18" ht="15" customHeight="1" x14ac:dyDescent="0.35">
      <c r="A267" s="1">
        <v>20</v>
      </c>
      <c r="B267" s="1" t="s">
        <v>586</v>
      </c>
      <c r="C267" s="1" t="s">
        <v>187</v>
      </c>
      <c r="D267" s="1">
        <v>2025</v>
      </c>
      <c r="E267" s="1" t="s">
        <v>587</v>
      </c>
      <c r="F267" s="1" t="s">
        <v>22</v>
      </c>
      <c r="G267" s="1" t="s">
        <v>601</v>
      </c>
      <c r="H267" s="1" t="b">
        <f>TRUE()</f>
        <v>1</v>
      </c>
      <c r="I267" s="17">
        <v>0</v>
      </c>
      <c r="J267" s="1" t="s">
        <v>424</v>
      </c>
      <c r="K267" s="1" t="s">
        <v>73</v>
      </c>
      <c r="L267" s="1" t="s">
        <v>557</v>
      </c>
      <c r="M267" s="18">
        <v>6410256.41025641</v>
      </c>
      <c r="N267" s="18">
        <v>2500000</v>
      </c>
      <c r="O267" s="18">
        <f t="shared" si="4"/>
        <v>0.39</v>
      </c>
      <c r="P267" s="19">
        <f t="shared" si="5"/>
        <v>39</v>
      </c>
      <c r="Q267" s="1" t="s">
        <v>558</v>
      </c>
      <c r="R267" s="1" t="s">
        <v>607</v>
      </c>
    </row>
    <row r="268" spans="1:18" ht="15" customHeight="1" x14ac:dyDescent="0.35">
      <c r="A268" s="1">
        <v>21</v>
      </c>
      <c r="B268" s="1" t="s">
        <v>608</v>
      </c>
      <c r="C268" s="1" t="s">
        <v>196</v>
      </c>
      <c r="D268" s="1">
        <v>2024</v>
      </c>
      <c r="E268" s="1" t="s">
        <v>609</v>
      </c>
      <c r="F268" s="1" t="s">
        <v>22</v>
      </c>
      <c r="G268" s="1" t="s">
        <v>610</v>
      </c>
      <c r="H268" s="1" t="b">
        <f>TRUE()</f>
        <v>1</v>
      </c>
      <c r="I268" s="17">
        <v>0</v>
      </c>
      <c r="J268" s="1" t="s">
        <v>424</v>
      </c>
      <c r="K268" s="1" t="s">
        <v>73</v>
      </c>
      <c r="L268" s="1" t="s">
        <v>557</v>
      </c>
      <c r="M268" s="18">
        <v>4600000</v>
      </c>
      <c r="N268" s="18">
        <v>1300000</v>
      </c>
      <c r="O268" s="18">
        <f t="shared" si="4"/>
        <v>0.28260869565217389</v>
      </c>
      <c r="P268" s="19">
        <f t="shared" si="5"/>
        <v>28.260869565217391</v>
      </c>
      <c r="Q268" s="1" t="s">
        <v>558</v>
      </c>
      <c r="R268" s="1" t="s">
        <v>611</v>
      </c>
    </row>
    <row r="269" spans="1:18" ht="15" customHeight="1" x14ac:dyDescent="0.35">
      <c r="A269" s="1">
        <v>22</v>
      </c>
      <c r="B269" s="1" t="s">
        <v>612</v>
      </c>
      <c r="C269" s="1" t="s">
        <v>204</v>
      </c>
      <c r="D269" s="1">
        <v>2024</v>
      </c>
      <c r="E269" s="1" t="s">
        <v>613</v>
      </c>
      <c r="F269" s="1" t="s">
        <v>417</v>
      </c>
      <c r="G269" s="1" t="s">
        <v>208</v>
      </c>
      <c r="H269" s="1" t="b">
        <f>TRUE()</f>
        <v>1</v>
      </c>
      <c r="I269" s="17">
        <v>7</v>
      </c>
      <c r="J269" s="1" t="s">
        <v>442</v>
      </c>
      <c r="K269" s="1" t="s">
        <v>49</v>
      </c>
      <c r="L269" s="1" t="s">
        <v>211</v>
      </c>
      <c r="M269" s="18">
        <v>0.98</v>
      </c>
      <c r="N269" s="18">
        <v>1.65</v>
      </c>
      <c r="O269" s="18">
        <f t="shared" si="4"/>
        <v>1.6836734693877551</v>
      </c>
      <c r="P269" s="19">
        <f t="shared" si="5"/>
        <v>168.36734693877551</v>
      </c>
      <c r="Q269" s="1" t="s">
        <v>420</v>
      </c>
      <c r="R269" s="1" t="s">
        <v>614</v>
      </c>
    </row>
    <row r="270" spans="1:18" ht="15" customHeight="1" x14ac:dyDescent="0.35">
      <c r="A270" s="1">
        <v>22</v>
      </c>
      <c r="B270" s="1" t="s">
        <v>612</v>
      </c>
      <c r="C270" s="1" t="s">
        <v>204</v>
      </c>
      <c r="D270" s="1">
        <v>2024</v>
      </c>
      <c r="E270" s="1" t="s">
        <v>613</v>
      </c>
      <c r="F270" s="1" t="s">
        <v>417</v>
      </c>
      <c r="G270" s="1" t="s">
        <v>208</v>
      </c>
      <c r="H270" s="1" t="b">
        <f>TRUE()</f>
        <v>1</v>
      </c>
      <c r="I270" s="17">
        <v>14</v>
      </c>
      <c r="J270" s="1" t="s">
        <v>442</v>
      </c>
      <c r="K270" s="1" t="s">
        <v>49</v>
      </c>
      <c r="L270" s="1" t="s">
        <v>211</v>
      </c>
      <c r="M270" s="18">
        <v>1</v>
      </c>
      <c r="N270" s="18">
        <v>1.48</v>
      </c>
      <c r="O270" s="18">
        <f t="shared" si="4"/>
        <v>1.48</v>
      </c>
      <c r="P270" s="19">
        <f t="shared" si="5"/>
        <v>148</v>
      </c>
      <c r="Q270" s="1" t="s">
        <v>420</v>
      </c>
      <c r="R270" s="1" t="s">
        <v>614</v>
      </c>
    </row>
    <row r="271" spans="1:18" ht="15" customHeight="1" x14ac:dyDescent="0.35">
      <c r="A271" s="1">
        <v>22</v>
      </c>
      <c r="B271" s="1" t="s">
        <v>612</v>
      </c>
      <c r="C271" s="1" t="s">
        <v>204</v>
      </c>
      <c r="D271" s="1">
        <v>2024</v>
      </c>
      <c r="E271" s="1" t="s">
        <v>613</v>
      </c>
      <c r="F271" s="1" t="s">
        <v>417</v>
      </c>
      <c r="G271" s="1" t="s">
        <v>208</v>
      </c>
      <c r="H271" s="1" t="b">
        <f>TRUE()</f>
        <v>1</v>
      </c>
      <c r="I271" s="17">
        <v>21</v>
      </c>
      <c r="J271" s="1" t="s">
        <v>442</v>
      </c>
      <c r="K271" s="1" t="s">
        <v>49</v>
      </c>
      <c r="L271" s="1" t="s">
        <v>211</v>
      </c>
      <c r="M271" s="18">
        <v>0.62</v>
      </c>
      <c r="N271" s="18">
        <v>0.15</v>
      </c>
      <c r="O271" s="18">
        <f t="shared" si="4"/>
        <v>0.24193548387096772</v>
      </c>
      <c r="P271" s="19">
        <f t="shared" si="5"/>
        <v>24.193548387096772</v>
      </c>
      <c r="Q271" s="1" t="s">
        <v>420</v>
      </c>
      <c r="R271" s="1" t="s">
        <v>614</v>
      </c>
    </row>
    <row r="272" spans="1:18" ht="15" customHeight="1" x14ac:dyDescent="0.35">
      <c r="A272" s="1">
        <v>15</v>
      </c>
      <c r="B272" s="1" t="s">
        <v>615</v>
      </c>
      <c r="C272" s="1" t="s">
        <v>149</v>
      </c>
      <c r="D272" s="1">
        <v>2023</v>
      </c>
      <c r="E272" s="1" t="s">
        <v>616</v>
      </c>
      <c r="F272" s="1" t="s">
        <v>45</v>
      </c>
      <c r="G272" s="1" t="s">
        <v>152</v>
      </c>
      <c r="H272" s="1" t="b">
        <f>TRUE()</f>
        <v>1</v>
      </c>
      <c r="I272" s="17">
        <v>24</v>
      </c>
      <c r="J272" s="1" t="s">
        <v>419</v>
      </c>
      <c r="K272" s="1" t="s">
        <v>73</v>
      </c>
      <c r="L272" s="1" t="s">
        <v>29</v>
      </c>
      <c r="M272" s="18">
        <v>180</v>
      </c>
      <c r="N272" s="18">
        <v>175</v>
      </c>
      <c r="O272" s="18">
        <f t="shared" si="4"/>
        <v>0.97222222222222221</v>
      </c>
      <c r="P272" s="19">
        <f t="shared" si="5"/>
        <v>97.222222222222214</v>
      </c>
      <c r="Q272" s="1" t="s">
        <v>420</v>
      </c>
      <c r="R272" s="1" t="s">
        <v>617</v>
      </c>
    </row>
    <row r="273" spans="1:18" ht="15" customHeight="1" x14ac:dyDescent="0.35">
      <c r="A273" s="1">
        <v>15</v>
      </c>
      <c r="B273" s="1" t="s">
        <v>615</v>
      </c>
      <c r="C273" s="1" t="s">
        <v>149</v>
      </c>
      <c r="D273" s="1">
        <v>2023</v>
      </c>
      <c r="E273" s="1" t="s">
        <v>616</v>
      </c>
      <c r="F273" s="1" t="s">
        <v>45</v>
      </c>
      <c r="G273" s="1" t="s">
        <v>152</v>
      </c>
      <c r="H273" s="1" t="b">
        <f>TRUE()</f>
        <v>1</v>
      </c>
      <c r="I273" s="17">
        <v>48</v>
      </c>
      <c r="J273" s="1" t="s">
        <v>419</v>
      </c>
      <c r="K273" s="1" t="s">
        <v>73</v>
      </c>
      <c r="L273" s="1" t="s">
        <v>29</v>
      </c>
      <c r="M273" s="18">
        <v>402</v>
      </c>
      <c r="N273" s="18">
        <v>32</v>
      </c>
      <c r="O273" s="18">
        <f t="shared" si="4"/>
        <v>7.9601990049751242E-2</v>
      </c>
      <c r="P273" s="19">
        <f t="shared" si="5"/>
        <v>7.9601990049751246</v>
      </c>
      <c r="Q273" s="1" t="s">
        <v>420</v>
      </c>
      <c r="R273" s="1" t="s">
        <v>617</v>
      </c>
    </row>
    <row r="274" spans="1:18" ht="15" customHeight="1" x14ac:dyDescent="0.35">
      <c r="A274" s="1">
        <v>15</v>
      </c>
      <c r="B274" s="1" t="s">
        <v>615</v>
      </c>
      <c r="C274" s="1" t="s">
        <v>149</v>
      </c>
      <c r="D274" s="1">
        <v>2023</v>
      </c>
      <c r="E274" s="1" t="s">
        <v>616</v>
      </c>
      <c r="F274" s="1" t="s">
        <v>45</v>
      </c>
      <c r="G274" s="1" t="s">
        <v>152</v>
      </c>
      <c r="H274" s="1" t="b">
        <f>TRUE()</f>
        <v>1</v>
      </c>
      <c r="I274" s="17">
        <v>72</v>
      </c>
      <c r="J274" s="1" t="s">
        <v>419</v>
      </c>
      <c r="K274" s="1" t="s">
        <v>73</v>
      </c>
      <c r="L274" s="1" t="s">
        <v>29</v>
      </c>
      <c r="M274" s="18">
        <v>425</v>
      </c>
      <c r="N274" s="18">
        <v>44</v>
      </c>
      <c r="O274" s="18">
        <f t="shared" si="4"/>
        <v>0.10352941176470588</v>
      </c>
      <c r="P274" s="19">
        <f t="shared" si="5"/>
        <v>10.352941176470589</v>
      </c>
      <c r="Q274" s="1" t="s">
        <v>420</v>
      </c>
      <c r="R274" s="1" t="s">
        <v>617</v>
      </c>
    </row>
    <row r="275" spans="1:18" ht="15" customHeight="1" x14ac:dyDescent="0.35">
      <c r="A275" s="1">
        <v>15</v>
      </c>
      <c r="B275" s="1" t="s">
        <v>615</v>
      </c>
      <c r="C275" s="1" t="s">
        <v>149</v>
      </c>
      <c r="D275" s="1">
        <v>2023</v>
      </c>
      <c r="E275" s="1" t="s">
        <v>616</v>
      </c>
      <c r="F275" s="1" t="s">
        <v>45</v>
      </c>
      <c r="G275" s="1" t="s">
        <v>152</v>
      </c>
      <c r="H275" s="1" t="b">
        <f>TRUE()</f>
        <v>1</v>
      </c>
      <c r="I275" s="17">
        <v>24</v>
      </c>
      <c r="J275" s="1" t="s">
        <v>442</v>
      </c>
      <c r="K275" s="1" t="s">
        <v>73</v>
      </c>
      <c r="L275" s="1" t="s">
        <v>154</v>
      </c>
      <c r="M275" s="18">
        <v>1</v>
      </c>
      <c r="N275" s="18">
        <v>0.6</v>
      </c>
      <c r="O275" s="18">
        <f t="shared" si="4"/>
        <v>0.6</v>
      </c>
      <c r="P275" s="19">
        <f t="shared" si="5"/>
        <v>60</v>
      </c>
      <c r="Q275" s="1" t="s">
        <v>420</v>
      </c>
      <c r="R275" s="1" t="s">
        <v>618</v>
      </c>
    </row>
    <row r="276" spans="1:18" ht="15" customHeight="1" x14ac:dyDescent="0.35">
      <c r="A276" s="1">
        <v>15</v>
      </c>
      <c r="B276" s="1" t="s">
        <v>615</v>
      </c>
      <c r="C276" s="1" t="s">
        <v>149</v>
      </c>
      <c r="D276" s="1">
        <v>2023</v>
      </c>
      <c r="E276" s="1" t="s">
        <v>616</v>
      </c>
      <c r="F276" s="1" t="s">
        <v>45</v>
      </c>
      <c r="G276" s="1" t="s">
        <v>152</v>
      </c>
      <c r="H276" s="1" t="b">
        <f>TRUE()</f>
        <v>1</v>
      </c>
      <c r="I276" s="17">
        <v>48</v>
      </c>
      <c r="J276" s="1" t="s">
        <v>442</v>
      </c>
      <c r="K276" s="1" t="s">
        <v>73</v>
      </c>
      <c r="L276" s="1" t="s">
        <v>154</v>
      </c>
      <c r="M276" s="18">
        <v>28</v>
      </c>
      <c r="N276" s="18">
        <v>24</v>
      </c>
      <c r="O276" s="18">
        <f t="shared" si="4"/>
        <v>0.8571428571428571</v>
      </c>
      <c r="P276" s="19">
        <f t="shared" si="5"/>
        <v>85.714285714285708</v>
      </c>
      <c r="Q276" s="1" t="s">
        <v>420</v>
      </c>
      <c r="R276" s="1" t="s">
        <v>618</v>
      </c>
    </row>
    <row r="277" spans="1:18" ht="15" customHeight="1" x14ac:dyDescent="0.35">
      <c r="A277" s="1">
        <v>15</v>
      </c>
      <c r="B277" s="1" t="s">
        <v>615</v>
      </c>
      <c r="C277" s="1" t="s">
        <v>149</v>
      </c>
      <c r="D277" s="1">
        <v>2023</v>
      </c>
      <c r="E277" s="1" t="s">
        <v>616</v>
      </c>
      <c r="F277" s="1" t="s">
        <v>45</v>
      </c>
      <c r="G277" s="1" t="s">
        <v>152</v>
      </c>
      <c r="H277" s="1" t="b">
        <f>TRUE()</f>
        <v>1</v>
      </c>
      <c r="I277" s="17">
        <v>72</v>
      </c>
      <c r="J277" s="1" t="s">
        <v>442</v>
      </c>
      <c r="K277" s="1" t="s">
        <v>73</v>
      </c>
      <c r="L277" s="1" t="s">
        <v>154</v>
      </c>
      <c r="M277" s="18">
        <v>51</v>
      </c>
      <c r="N277" s="18">
        <v>48</v>
      </c>
      <c r="O277" s="18">
        <f t="shared" si="4"/>
        <v>0.94117647058823528</v>
      </c>
      <c r="P277" s="19">
        <f t="shared" si="5"/>
        <v>94.117647058823522</v>
      </c>
      <c r="Q277" s="1" t="s">
        <v>420</v>
      </c>
      <c r="R277" s="1" t="s">
        <v>618</v>
      </c>
    </row>
    <row r="278" spans="1:18" ht="15" customHeight="1" x14ac:dyDescent="0.35">
      <c r="A278" s="1">
        <v>14</v>
      </c>
      <c r="B278" s="1" t="s">
        <v>619</v>
      </c>
      <c r="C278" s="1" t="s">
        <v>42</v>
      </c>
      <c r="D278" s="1">
        <v>2021</v>
      </c>
      <c r="E278" s="1" t="s">
        <v>620</v>
      </c>
      <c r="F278" s="1" t="s">
        <v>22</v>
      </c>
      <c r="G278" s="1" t="s">
        <v>621</v>
      </c>
      <c r="H278" s="1" t="b">
        <f>TRUE()</f>
        <v>1</v>
      </c>
      <c r="I278" s="17">
        <v>12</v>
      </c>
      <c r="J278" s="1" t="s">
        <v>419</v>
      </c>
      <c r="K278" s="1" t="s">
        <v>73</v>
      </c>
      <c r="L278" s="1" t="s">
        <v>29</v>
      </c>
      <c r="M278" s="18">
        <v>2.2000000000000002</v>
      </c>
      <c r="N278" s="18">
        <v>1.2</v>
      </c>
      <c r="O278" s="18">
        <f t="shared" si="4"/>
        <v>0.54545454545454541</v>
      </c>
      <c r="P278" s="19">
        <f t="shared" si="5"/>
        <v>54.54545454545454</v>
      </c>
      <c r="Q278" s="1" t="s">
        <v>420</v>
      </c>
      <c r="R278" s="1" t="s">
        <v>622</v>
      </c>
    </row>
    <row r="279" spans="1:18" ht="15" customHeight="1" x14ac:dyDescent="0.35">
      <c r="A279" s="1">
        <v>14</v>
      </c>
      <c r="B279" s="1" t="s">
        <v>619</v>
      </c>
      <c r="C279" s="1" t="s">
        <v>42</v>
      </c>
      <c r="D279" s="1">
        <v>2021</v>
      </c>
      <c r="E279" s="1" t="s">
        <v>620</v>
      </c>
      <c r="F279" s="1" t="s">
        <v>22</v>
      </c>
      <c r="G279" s="1" t="s">
        <v>621</v>
      </c>
      <c r="H279" s="1" t="b">
        <f>TRUE()</f>
        <v>1</v>
      </c>
      <c r="I279" s="17">
        <v>15</v>
      </c>
      <c r="J279" s="1" t="s">
        <v>419</v>
      </c>
      <c r="K279" s="1" t="s">
        <v>73</v>
      </c>
      <c r="L279" s="1" t="s">
        <v>29</v>
      </c>
      <c r="M279" s="18">
        <v>12</v>
      </c>
      <c r="N279" s="18">
        <v>1.2</v>
      </c>
      <c r="O279" s="18">
        <f t="shared" si="4"/>
        <v>9.9999999999999992E-2</v>
      </c>
      <c r="P279" s="19">
        <f t="shared" si="5"/>
        <v>10</v>
      </c>
      <c r="Q279" s="1" t="s">
        <v>420</v>
      </c>
      <c r="R279" s="1" t="s">
        <v>622</v>
      </c>
    </row>
    <row r="280" spans="1:18" ht="15" customHeight="1" x14ac:dyDescent="0.35">
      <c r="A280" s="1">
        <v>14</v>
      </c>
      <c r="B280" s="1" t="s">
        <v>619</v>
      </c>
      <c r="C280" s="1" t="s">
        <v>42</v>
      </c>
      <c r="D280" s="1">
        <v>2021</v>
      </c>
      <c r="E280" s="1" t="s">
        <v>620</v>
      </c>
      <c r="F280" s="1" t="s">
        <v>22</v>
      </c>
      <c r="G280" s="1" t="s">
        <v>623</v>
      </c>
      <c r="H280" s="1" t="b">
        <f>TRUE()</f>
        <v>1</v>
      </c>
      <c r="I280" s="17">
        <v>12</v>
      </c>
      <c r="J280" s="1" t="s">
        <v>419</v>
      </c>
      <c r="K280" s="1" t="s">
        <v>73</v>
      </c>
      <c r="L280" s="1" t="s">
        <v>29</v>
      </c>
      <c r="M280" s="18">
        <v>4.5</v>
      </c>
      <c r="N280" s="18">
        <v>1.5</v>
      </c>
      <c r="O280" s="18">
        <f t="shared" si="4"/>
        <v>0.33333333333333331</v>
      </c>
      <c r="P280" s="19">
        <f t="shared" si="5"/>
        <v>33.333333333333329</v>
      </c>
      <c r="Q280" s="1" t="s">
        <v>420</v>
      </c>
      <c r="R280" s="1" t="s">
        <v>624</v>
      </c>
    </row>
    <row r="281" spans="1:18" ht="15" customHeight="1" x14ac:dyDescent="0.35">
      <c r="A281" s="1">
        <v>14</v>
      </c>
      <c r="B281" s="1" t="s">
        <v>619</v>
      </c>
      <c r="C281" s="1" t="s">
        <v>42</v>
      </c>
      <c r="D281" s="1">
        <v>2021</v>
      </c>
      <c r="E281" s="1" t="s">
        <v>620</v>
      </c>
      <c r="F281" s="1" t="s">
        <v>22</v>
      </c>
      <c r="G281" s="1" t="s">
        <v>623</v>
      </c>
      <c r="H281" s="1" t="b">
        <f>TRUE()</f>
        <v>1</v>
      </c>
      <c r="I281" s="17">
        <v>15</v>
      </c>
      <c r="J281" s="1" t="s">
        <v>419</v>
      </c>
      <c r="K281" s="1" t="s">
        <v>73</v>
      </c>
      <c r="L281" s="1" t="s">
        <v>29</v>
      </c>
      <c r="M281" s="18">
        <v>8.8000000000000007</v>
      </c>
      <c r="N281" s="18">
        <v>1.2</v>
      </c>
      <c r="O281" s="18">
        <f t="shared" ref="O281:O321" si="6">N281/M281</f>
        <v>0.13636363636363635</v>
      </c>
      <c r="P281" s="19">
        <f t="shared" ref="P281:P321" si="7">O281*100</f>
        <v>13.636363636363635</v>
      </c>
      <c r="Q281" s="1" t="s">
        <v>420</v>
      </c>
      <c r="R281" s="1" t="s">
        <v>624</v>
      </c>
    </row>
    <row r="282" spans="1:18" ht="15" customHeight="1" x14ac:dyDescent="0.35">
      <c r="A282" s="1">
        <v>14</v>
      </c>
      <c r="B282" s="1" t="s">
        <v>619</v>
      </c>
      <c r="C282" s="1" t="s">
        <v>42</v>
      </c>
      <c r="D282" s="1">
        <v>2021</v>
      </c>
      <c r="E282" s="1" t="s">
        <v>620</v>
      </c>
      <c r="F282" s="1" t="s">
        <v>22</v>
      </c>
      <c r="G282" s="1" t="s">
        <v>621</v>
      </c>
      <c r="H282" s="1" t="b">
        <f>TRUE()</f>
        <v>1</v>
      </c>
      <c r="I282" s="17">
        <v>12</v>
      </c>
      <c r="J282" s="1" t="s">
        <v>442</v>
      </c>
      <c r="K282" s="1" t="s">
        <v>73</v>
      </c>
      <c r="L282" s="1" t="s">
        <v>625</v>
      </c>
      <c r="M282" s="18">
        <v>2.4</v>
      </c>
      <c r="N282" s="18">
        <v>0.8</v>
      </c>
      <c r="O282" s="18">
        <f t="shared" si="6"/>
        <v>0.33333333333333337</v>
      </c>
      <c r="P282" s="19">
        <f t="shared" si="7"/>
        <v>33.333333333333336</v>
      </c>
      <c r="Q282" s="1" t="s">
        <v>420</v>
      </c>
      <c r="R282" s="1" t="s">
        <v>626</v>
      </c>
    </row>
    <row r="283" spans="1:18" ht="15" customHeight="1" x14ac:dyDescent="0.35">
      <c r="A283" s="1">
        <v>14</v>
      </c>
      <c r="B283" s="1" t="s">
        <v>619</v>
      </c>
      <c r="C283" s="1" t="s">
        <v>42</v>
      </c>
      <c r="D283" s="1">
        <v>2021</v>
      </c>
      <c r="E283" s="1" t="s">
        <v>620</v>
      </c>
      <c r="F283" s="1" t="s">
        <v>22</v>
      </c>
      <c r="G283" s="1" t="s">
        <v>621</v>
      </c>
      <c r="H283" s="1" t="b">
        <f>TRUE()</f>
        <v>1</v>
      </c>
      <c r="I283" s="17">
        <v>15</v>
      </c>
      <c r="J283" s="1" t="s">
        <v>442</v>
      </c>
      <c r="K283" s="1" t="s">
        <v>73</v>
      </c>
      <c r="L283" s="1" t="s">
        <v>625</v>
      </c>
      <c r="M283" s="18">
        <v>8.1999999999999993</v>
      </c>
      <c r="N283" s="18">
        <v>1.2</v>
      </c>
      <c r="O283" s="18">
        <f t="shared" si="6"/>
        <v>0.14634146341463417</v>
      </c>
      <c r="P283" s="19">
        <f t="shared" si="7"/>
        <v>14.634146341463417</v>
      </c>
      <c r="Q283" s="1" t="s">
        <v>420</v>
      </c>
      <c r="R283" s="1" t="s">
        <v>626</v>
      </c>
    </row>
    <row r="284" spans="1:18" ht="15" customHeight="1" x14ac:dyDescent="0.35">
      <c r="A284" s="1">
        <v>14</v>
      </c>
      <c r="B284" s="1" t="s">
        <v>619</v>
      </c>
      <c r="C284" s="1" t="s">
        <v>42</v>
      </c>
      <c r="D284" s="1">
        <v>2021</v>
      </c>
      <c r="E284" s="1" t="s">
        <v>620</v>
      </c>
      <c r="F284" s="1" t="s">
        <v>22</v>
      </c>
      <c r="G284" s="1" t="s">
        <v>621</v>
      </c>
      <c r="H284" s="1" t="b">
        <f>TRUE()</f>
        <v>1</v>
      </c>
      <c r="I284" s="17">
        <v>0</v>
      </c>
      <c r="J284" s="1" t="s">
        <v>424</v>
      </c>
      <c r="K284" s="1" t="s">
        <v>73</v>
      </c>
      <c r="L284" s="1" t="s">
        <v>563</v>
      </c>
      <c r="M284" s="18">
        <v>1150000000</v>
      </c>
      <c r="N284" s="18">
        <v>450000000</v>
      </c>
      <c r="O284" s="18">
        <f t="shared" si="6"/>
        <v>0.39130434782608697</v>
      </c>
      <c r="P284" s="19">
        <f t="shared" si="7"/>
        <v>39.130434782608695</v>
      </c>
      <c r="Q284" s="1" t="s">
        <v>219</v>
      </c>
      <c r="R284" s="1" t="s">
        <v>627</v>
      </c>
    </row>
    <row r="285" spans="1:18" ht="15" customHeight="1" x14ac:dyDescent="0.35">
      <c r="A285" s="1">
        <v>14</v>
      </c>
      <c r="B285" s="1" t="s">
        <v>619</v>
      </c>
      <c r="C285" s="1" t="s">
        <v>42</v>
      </c>
      <c r="D285" s="1">
        <v>2021</v>
      </c>
      <c r="E285" s="1" t="s">
        <v>620</v>
      </c>
      <c r="F285" s="1" t="s">
        <v>22</v>
      </c>
      <c r="G285" s="1" t="s">
        <v>623</v>
      </c>
      <c r="H285" s="1" t="b">
        <f>TRUE()</f>
        <v>1</v>
      </c>
      <c r="I285" s="17">
        <v>0</v>
      </c>
      <c r="J285" s="1" t="s">
        <v>424</v>
      </c>
      <c r="K285" s="1" t="s">
        <v>73</v>
      </c>
      <c r="L285" s="1" t="s">
        <v>563</v>
      </c>
      <c r="M285" s="18">
        <v>1150000000</v>
      </c>
      <c r="N285" s="18">
        <v>500000000</v>
      </c>
      <c r="O285" s="18">
        <f t="shared" si="6"/>
        <v>0.43478260869565216</v>
      </c>
      <c r="P285" s="19">
        <f t="shared" si="7"/>
        <v>43.478260869565219</v>
      </c>
      <c r="Q285" s="1" t="s">
        <v>219</v>
      </c>
      <c r="R285" s="1" t="s">
        <v>628</v>
      </c>
    </row>
    <row r="286" spans="1:18" ht="15" customHeight="1" x14ac:dyDescent="0.35">
      <c r="A286" s="1">
        <v>13</v>
      </c>
      <c r="B286" s="1" t="s">
        <v>629</v>
      </c>
      <c r="C286" s="1" t="s">
        <v>133</v>
      </c>
      <c r="D286" s="1">
        <v>2022</v>
      </c>
      <c r="E286" s="1" t="s">
        <v>630</v>
      </c>
      <c r="F286" s="1" t="s">
        <v>45</v>
      </c>
      <c r="G286" s="1" t="s">
        <v>136</v>
      </c>
      <c r="H286" s="1" t="b">
        <f>TRUE()</f>
        <v>1</v>
      </c>
      <c r="I286" s="17">
        <v>3</v>
      </c>
      <c r="J286" s="1" t="s">
        <v>419</v>
      </c>
      <c r="K286" s="1" t="s">
        <v>73</v>
      </c>
      <c r="L286" s="1" t="s">
        <v>29</v>
      </c>
      <c r="M286" s="18">
        <v>1</v>
      </c>
      <c r="N286" s="18">
        <v>0.38</v>
      </c>
      <c r="O286" s="18">
        <f t="shared" si="6"/>
        <v>0.38</v>
      </c>
      <c r="P286" s="19">
        <f t="shared" si="7"/>
        <v>38</v>
      </c>
      <c r="Q286" s="1" t="s">
        <v>420</v>
      </c>
      <c r="R286" s="1" t="s">
        <v>631</v>
      </c>
    </row>
    <row r="287" spans="1:18" ht="15" customHeight="1" x14ac:dyDescent="0.35">
      <c r="A287" s="1">
        <v>13</v>
      </c>
      <c r="B287" s="1" t="s">
        <v>629</v>
      </c>
      <c r="C287" s="1" t="s">
        <v>133</v>
      </c>
      <c r="D287" s="1">
        <v>2022</v>
      </c>
      <c r="E287" s="1" t="s">
        <v>630</v>
      </c>
      <c r="F287" s="1" t="s">
        <v>45</v>
      </c>
      <c r="G287" s="1" t="s">
        <v>136</v>
      </c>
      <c r="H287" s="1" t="b">
        <f>TRUE()</f>
        <v>1</v>
      </c>
      <c r="I287" s="17">
        <v>5</v>
      </c>
      <c r="J287" s="1" t="s">
        <v>419</v>
      </c>
      <c r="K287" s="1" t="s">
        <v>73</v>
      </c>
      <c r="L287" s="1" t="s">
        <v>29</v>
      </c>
      <c r="M287" s="18">
        <v>1</v>
      </c>
      <c r="N287" s="18">
        <v>0.67</v>
      </c>
      <c r="O287" s="18">
        <f t="shared" si="6"/>
        <v>0.67</v>
      </c>
      <c r="P287" s="19">
        <f t="shared" si="7"/>
        <v>67</v>
      </c>
      <c r="Q287" s="1" t="s">
        <v>420</v>
      </c>
      <c r="R287" s="1" t="s">
        <v>631</v>
      </c>
    </row>
    <row r="288" spans="1:18" ht="15" customHeight="1" x14ac:dyDescent="0.35">
      <c r="A288" s="1">
        <v>13</v>
      </c>
      <c r="B288" s="1" t="s">
        <v>629</v>
      </c>
      <c r="C288" s="1" t="s">
        <v>133</v>
      </c>
      <c r="D288" s="1">
        <v>2022</v>
      </c>
      <c r="E288" s="1" t="s">
        <v>630</v>
      </c>
      <c r="F288" s="1" t="s">
        <v>45</v>
      </c>
      <c r="G288" s="1" t="s">
        <v>136</v>
      </c>
      <c r="H288" s="1" t="b">
        <f>TRUE()</f>
        <v>1</v>
      </c>
      <c r="I288" s="17">
        <v>3</v>
      </c>
      <c r="J288" s="1" t="s">
        <v>447</v>
      </c>
      <c r="K288" s="1" t="s">
        <v>73</v>
      </c>
      <c r="L288" s="1" t="s">
        <v>632</v>
      </c>
      <c r="M288" s="18">
        <v>20000</v>
      </c>
      <c r="N288" s="18">
        <v>10000</v>
      </c>
      <c r="O288" s="18">
        <f t="shared" si="6"/>
        <v>0.5</v>
      </c>
      <c r="P288" s="19">
        <f t="shared" si="7"/>
        <v>50</v>
      </c>
      <c r="Q288" s="1" t="s">
        <v>448</v>
      </c>
      <c r="R288" s="1" t="s">
        <v>633</v>
      </c>
    </row>
    <row r="289" spans="1:18" ht="15" customHeight="1" x14ac:dyDescent="0.35">
      <c r="A289" s="1">
        <v>13</v>
      </c>
      <c r="B289" s="1" t="s">
        <v>629</v>
      </c>
      <c r="C289" s="1" t="s">
        <v>133</v>
      </c>
      <c r="D289" s="1">
        <v>2022</v>
      </c>
      <c r="E289" s="1" t="s">
        <v>630</v>
      </c>
      <c r="F289" s="1" t="s">
        <v>45</v>
      </c>
      <c r="G289" s="1" t="s">
        <v>136</v>
      </c>
      <c r="H289" s="1" t="b">
        <f>TRUE()</f>
        <v>1</v>
      </c>
      <c r="I289" s="17">
        <v>5</v>
      </c>
      <c r="J289" s="1" t="s">
        <v>447</v>
      </c>
      <c r="K289" s="1" t="s">
        <v>73</v>
      </c>
      <c r="L289" s="1" t="s">
        <v>632</v>
      </c>
      <c r="M289" s="18">
        <v>47000</v>
      </c>
      <c r="N289" s="18">
        <v>30000</v>
      </c>
      <c r="O289" s="18">
        <f t="shared" si="6"/>
        <v>0.63829787234042556</v>
      </c>
      <c r="P289" s="19">
        <f t="shared" si="7"/>
        <v>63.829787234042556</v>
      </c>
      <c r="Q289" s="1" t="s">
        <v>448</v>
      </c>
      <c r="R289" s="1" t="s">
        <v>633</v>
      </c>
    </row>
    <row r="290" spans="1:18" ht="15" customHeight="1" x14ac:dyDescent="0.35">
      <c r="A290" s="1">
        <v>12</v>
      </c>
      <c r="B290" s="1" t="s">
        <v>634</v>
      </c>
      <c r="C290" s="1" t="s">
        <v>86</v>
      </c>
      <c r="D290" s="1">
        <v>2022</v>
      </c>
      <c r="E290" s="1" t="s">
        <v>635</v>
      </c>
      <c r="F290" s="1" t="s">
        <v>45</v>
      </c>
      <c r="G290" s="1" t="s">
        <v>127</v>
      </c>
      <c r="H290" s="1" t="b">
        <f>TRUE()</f>
        <v>1</v>
      </c>
      <c r="I290" s="17">
        <v>24</v>
      </c>
      <c r="J290" s="1" t="s">
        <v>419</v>
      </c>
      <c r="K290" s="1" t="s">
        <v>129</v>
      </c>
      <c r="L290" s="1" t="s">
        <v>29</v>
      </c>
      <c r="M290" s="18">
        <v>1.4</v>
      </c>
      <c r="N290" s="18">
        <v>0.32</v>
      </c>
      <c r="O290" s="18">
        <f t="shared" si="6"/>
        <v>0.22857142857142859</v>
      </c>
      <c r="P290" s="19">
        <f t="shared" si="7"/>
        <v>22.857142857142858</v>
      </c>
      <c r="Q290" s="1" t="s">
        <v>420</v>
      </c>
      <c r="R290" s="1" t="s">
        <v>636</v>
      </c>
    </row>
    <row r="291" spans="1:18" ht="15" customHeight="1" x14ac:dyDescent="0.35">
      <c r="A291" s="1">
        <v>12</v>
      </c>
      <c r="B291" s="1" t="s">
        <v>634</v>
      </c>
      <c r="C291" s="1" t="s">
        <v>86</v>
      </c>
      <c r="D291" s="1">
        <v>2022</v>
      </c>
      <c r="E291" s="1" t="s">
        <v>635</v>
      </c>
      <c r="F291" s="1" t="s">
        <v>45</v>
      </c>
      <c r="G291" s="1" t="s">
        <v>127</v>
      </c>
      <c r="H291" s="1" t="b">
        <f>TRUE()</f>
        <v>1</v>
      </c>
      <c r="I291" s="17">
        <v>48</v>
      </c>
      <c r="J291" s="1" t="s">
        <v>419</v>
      </c>
      <c r="K291" s="1" t="s">
        <v>129</v>
      </c>
      <c r="L291" s="1" t="s">
        <v>29</v>
      </c>
      <c r="M291" s="18">
        <v>0.42</v>
      </c>
      <c r="N291" s="18">
        <v>0.28000000000000003</v>
      </c>
      <c r="O291" s="18">
        <f t="shared" si="6"/>
        <v>0.66666666666666674</v>
      </c>
      <c r="P291" s="19">
        <f t="shared" si="7"/>
        <v>66.666666666666671</v>
      </c>
      <c r="Q291" s="1" t="s">
        <v>420</v>
      </c>
      <c r="R291" s="1" t="s">
        <v>636</v>
      </c>
    </row>
    <row r="292" spans="1:18" ht="15" customHeight="1" x14ac:dyDescent="0.35">
      <c r="A292" s="1">
        <v>12</v>
      </c>
      <c r="B292" s="1" t="s">
        <v>634</v>
      </c>
      <c r="C292" s="1" t="s">
        <v>86</v>
      </c>
      <c r="D292" s="1">
        <v>2022</v>
      </c>
      <c r="E292" s="1" t="s">
        <v>635</v>
      </c>
      <c r="F292" s="1" t="s">
        <v>45</v>
      </c>
      <c r="G292" s="1" t="s">
        <v>127</v>
      </c>
      <c r="H292" s="1" t="b">
        <f>TRUE()</f>
        <v>1</v>
      </c>
      <c r="I292" s="17">
        <v>72</v>
      </c>
      <c r="J292" s="1" t="s">
        <v>419</v>
      </c>
      <c r="K292" s="1" t="s">
        <v>129</v>
      </c>
      <c r="L292" s="1" t="s">
        <v>29</v>
      </c>
      <c r="M292" s="18">
        <v>3.65</v>
      </c>
      <c r="N292" s="18">
        <v>2.4500000000000002</v>
      </c>
      <c r="O292" s="18">
        <f t="shared" si="6"/>
        <v>0.67123287671232879</v>
      </c>
      <c r="P292" s="19">
        <f t="shared" si="7"/>
        <v>67.123287671232873</v>
      </c>
      <c r="Q292" s="1" t="s">
        <v>420</v>
      </c>
      <c r="R292" s="1" t="s">
        <v>636</v>
      </c>
    </row>
    <row r="293" spans="1:18" ht="15" customHeight="1" x14ac:dyDescent="0.35">
      <c r="A293" s="1">
        <v>12</v>
      </c>
      <c r="B293" s="1" t="s">
        <v>634</v>
      </c>
      <c r="C293" s="1" t="s">
        <v>86</v>
      </c>
      <c r="D293" s="1">
        <v>2022</v>
      </c>
      <c r="E293" s="1" t="s">
        <v>635</v>
      </c>
      <c r="F293" s="1" t="s">
        <v>45</v>
      </c>
      <c r="G293" s="1" t="s">
        <v>127</v>
      </c>
      <c r="H293" s="1" t="b">
        <f>TRUE()</f>
        <v>1</v>
      </c>
      <c r="I293" s="17">
        <v>96</v>
      </c>
      <c r="J293" s="1" t="s">
        <v>419</v>
      </c>
      <c r="K293" s="1" t="s">
        <v>129</v>
      </c>
      <c r="L293" s="1" t="s">
        <v>29</v>
      </c>
      <c r="M293" s="18">
        <v>1.45</v>
      </c>
      <c r="N293" s="18">
        <v>0.22</v>
      </c>
      <c r="O293" s="18">
        <f t="shared" si="6"/>
        <v>0.15172413793103448</v>
      </c>
      <c r="P293" s="19">
        <f t="shared" si="7"/>
        <v>15.172413793103448</v>
      </c>
      <c r="Q293" s="1" t="s">
        <v>420</v>
      </c>
      <c r="R293" s="1" t="s">
        <v>636</v>
      </c>
    </row>
    <row r="294" spans="1:18" ht="15" customHeight="1" x14ac:dyDescent="0.35">
      <c r="A294" s="1">
        <v>12</v>
      </c>
      <c r="B294" s="1" t="s">
        <v>634</v>
      </c>
      <c r="C294" s="1" t="s">
        <v>86</v>
      </c>
      <c r="D294" s="1">
        <v>2022</v>
      </c>
      <c r="E294" s="1" t="s">
        <v>635</v>
      </c>
      <c r="F294" s="1" t="s">
        <v>45</v>
      </c>
      <c r="G294" s="1" t="s">
        <v>127</v>
      </c>
      <c r="H294" s="1" t="b">
        <f>TRUE()</f>
        <v>1</v>
      </c>
      <c r="I294" s="17">
        <v>120</v>
      </c>
      <c r="J294" s="1" t="s">
        <v>419</v>
      </c>
      <c r="K294" s="1" t="s">
        <v>129</v>
      </c>
      <c r="L294" s="1" t="s">
        <v>29</v>
      </c>
      <c r="M294" s="18">
        <v>1.02</v>
      </c>
      <c r="N294" s="18">
        <v>0.62</v>
      </c>
      <c r="O294" s="18">
        <f t="shared" si="6"/>
        <v>0.60784313725490191</v>
      </c>
      <c r="P294" s="19">
        <f t="shared" si="7"/>
        <v>60.784313725490193</v>
      </c>
      <c r="Q294" s="1" t="s">
        <v>420</v>
      </c>
      <c r="R294" s="1" t="s">
        <v>636</v>
      </c>
    </row>
    <row r="295" spans="1:18" ht="15" customHeight="1" x14ac:dyDescent="0.35">
      <c r="A295" s="1">
        <v>12</v>
      </c>
      <c r="B295" s="1" t="s">
        <v>634</v>
      </c>
      <c r="C295" s="1" t="s">
        <v>86</v>
      </c>
      <c r="D295" s="1">
        <v>2022</v>
      </c>
      <c r="E295" s="1" t="s">
        <v>635</v>
      </c>
      <c r="F295" s="1" t="s">
        <v>45</v>
      </c>
      <c r="G295" s="1" t="s">
        <v>127</v>
      </c>
      <c r="H295" s="1" t="b">
        <f>TRUE()</f>
        <v>1</v>
      </c>
      <c r="I295" s="17">
        <v>24</v>
      </c>
      <c r="J295" s="1" t="s">
        <v>447</v>
      </c>
      <c r="K295" s="1" t="s">
        <v>129</v>
      </c>
      <c r="L295" s="1" t="s">
        <v>632</v>
      </c>
      <c r="M295" s="18">
        <v>7079.4578438413801</v>
      </c>
      <c r="N295" s="18">
        <v>794.32823472428095</v>
      </c>
      <c r="O295" s="18">
        <f t="shared" si="6"/>
        <v>0.11220184543019625</v>
      </c>
      <c r="P295" s="19">
        <f t="shared" si="7"/>
        <v>11.220184543019625</v>
      </c>
      <c r="Q295" s="1" t="s">
        <v>637</v>
      </c>
      <c r="R295" s="1" t="s">
        <v>638</v>
      </c>
    </row>
    <row r="296" spans="1:18" ht="15" customHeight="1" x14ac:dyDescent="0.35">
      <c r="A296" s="1">
        <v>12</v>
      </c>
      <c r="B296" s="1" t="s">
        <v>634</v>
      </c>
      <c r="C296" s="1" t="s">
        <v>86</v>
      </c>
      <c r="D296" s="1">
        <v>2022</v>
      </c>
      <c r="E296" s="1" t="s">
        <v>635</v>
      </c>
      <c r="F296" s="1" t="s">
        <v>45</v>
      </c>
      <c r="G296" s="1" t="s">
        <v>127</v>
      </c>
      <c r="H296" s="1" t="b">
        <f>TRUE()</f>
        <v>1</v>
      </c>
      <c r="I296" s="17">
        <v>48</v>
      </c>
      <c r="J296" s="1" t="s">
        <v>447</v>
      </c>
      <c r="K296" s="1" t="s">
        <v>129</v>
      </c>
      <c r="L296" s="1" t="s">
        <v>632</v>
      </c>
      <c r="M296" s="18">
        <v>7943.2823472428099</v>
      </c>
      <c r="N296" s="18">
        <v>3981.0717055349701</v>
      </c>
      <c r="O296" s="18">
        <f t="shared" si="6"/>
        <v>0.50118723362727235</v>
      </c>
      <c r="P296" s="19">
        <f t="shared" si="7"/>
        <v>50.118723362727238</v>
      </c>
      <c r="Q296" s="1" t="s">
        <v>637</v>
      </c>
      <c r="R296" s="1" t="s">
        <v>639</v>
      </c>
    </row>
    <row r="297" spans="1:18" ht="15" customHeight="1" x14ac:dyDescent="0.35">
      <c r="A297" s="1">
        <v>12</v>
      </c>
      <c r="B297" s="1" t="s">
        <v>634</v>
      </c>
      <c r="C297" s="1" t="s">
        <v>86</v>
      </c>
      <c r="D297" s="1">
        <v>2022</v>
      </c>
      <c r="E297" s="1" t="s">
        <v>635</v>
      </c>
      <c r="F297" s="1" t="s">
        <v>45</v>
      </c>
      <c r="G297" s="1" t="s">
        <v>127</v>
      </c>
      <c r="H297" s="1" t="b">
        <f>TRUE()</f>
        <v>1</v>
      </c>
      <c r="I297" s="17">
        <v>72</v>
      </c>
      <c r="J297" s="1" t="s">
        <v>447</v>
      </c>
      <c r="K297" s="1" t="s">
        <v>129</v>
      </c>
      <c r="L297" s="1" t="s">
        <v>632</v>
      </c>
      <c r="M297" s="18">
        <v>25118.864315095801</v>
      </c>
      <c r="N297" s="18">
        <v>6309.5734448019302</v>
      </c>
      <c r="O297" s="18">
        <f t="shared" si="6"/>
        <v>0.2511886431509579</v>
      </c>
      <c r="P297" s="19">
        <f t="shared" si="7"/>
        <v>25.118864315095792</v>
      </c>
      <c r="Q297" s="1" t="s">
        <v>637</v>
      </c>
      <c r="R297" s="1" t="s">
        <v>640</v>
      </c>
    </row>
    <row r="298" spans="1:18" ht="15" customHeight="1" x14ac:dyDescent="0.35">
      <c r="A298" s="1">
        <v>12</v>
      </c>
      <c r="B298" s="1" t="s">
        <v>634</v>
      </c>
      <c r="C298" s="1" t="s">
        <v>86</v>
      </c>
      <c r="D298" s="1">
        <v>2022</v>
      </c>
      <c r="E298" s="1" t="s">
        <v>635</v>
      </c>
      <c r="F298" s="1" t="s">
        <v>45</v>
      </c>
      <c r="G298" s="1" t="s">
        <v>127</v>
      </c>
      <c r="H298" s="1" t="b">
        <f>TRUE()</f>
        <v>1</v>
      </c>
      <c r="I298" s="17">
        <v>96</v>
      </c>
      <c r="J298" s="1" t="s">
        <v>447</v>
      </c>
      <c r="K298" s="1" t="s">
        <v>129</v>
      </c>
      <c r="L298" s="1" t="s">
        <v>632</v>
      </c>
      <c r="M298" s="18">
        <v>158489.319246111</v>
      </c>
      <c r="N298" s="18">
        <v>19952.623149688799</v>
      </c>
      <c r="O298" s="18">
        <f t="shared" si="6"/>
        <v>0.12589254117941701</v>
      </c>
      <c r="P298" s="19">
        <f t="shared" si="7"/>
        <v>12.589254117941701</v>
      </c>
      <c r="Q298" s="1" t="s">
        <v>637</v>
      </c>
      <c r="R298" s="1" t="s">
        <v>641</v>
      </c>
    </row>
    <row r="299" spans="1:18" ht="15" customHeight="1" x14ac:dyDescent="0.35">
      <c r="A299" s="1">
        <v>12</v>
      </c>
      <c r="B299" s="1" t="s">
        <v>634</v>
      </c>
      <c r="C299" s="1" t="s">
        <v>86</v>
      </c>
      <c r="D299" s="1">
        <v>2022</v>
      </c>
      <c r="E299" s="1" t="s">
        <v>635</v>
      </c>
      <c r="F299" s="1" t="s">
        <v>45</v>
      </c>
      <c r="G299" s="1" t="s">
        <v>127</v>
      </c>
      <c r="H299" s="1" t="b">
        <f>TRUE()</f>
        <v>1</v>
      </c>
      <c r="I299" s="17">
        <v>120</v>
      </c>
      <c r="J299" s="1" t="s">
        <v>447</v>
      </c>
      <c r="K299" s="1" t="s">
        <v>129</v>
      </c>
      <c r="L299" s="1" t="s">
        <v>632</v>
      </c>
      <c r="M299" s="18">
        <v>2511886.43150958</v>
      </c>
      <c r="N299" s="18">
        <v>2238721.1385683399</v>
      </c>
      <c r="O299" s="18">
        <f t="shared" si="6"/>
        <v>0.89125093813374567</v>
      </c>
      <c r="P299" s="19">
        <f t="shared" si="7"/>
        <v>89.125093813374562</v>
      </c>
      <c r="Q299" s="1" t="s">
        <v>637</v>
      </c>
      <c r="R299" s="1" t="s">
        <v>642</v>
      </c>
    </row>
    <row r="300" spans="1:18" ht="15" customHeight="1" x14ac:dyDescent="0.35">
      <c r="A300" s="1">
        <v>11</v>
      </c>
      <c r="B300" s="1" t="s">
        <v>643</v>
      </c>
      <c r="C300" s="1" t="s">
        <v>116</v>
      </c>
      <c r="D300" s="1">
        <v>2022</v>
      </c>
      <c r="E300" s="1" t="s">
        <v>644</v>
      </c>
      <c r="F300" s="1" t="s">
        <v>45</v>
      </c>
      <c r="G300" s="1" t="s">
        <v>119</v>
      </c>
      <c r="H300" s="1" t="b">
        <f>TRUE()</f>
        <v>1</v>
      </c>
      <c r="I300" s="17">
        <v>24</v>
      </c>
      <c r="J300" s="1" t="s">
        <v>419</v>
      </c>
      <c r="K300" s="1" t="s">
        <v>113</v>
      </c>
      <c r="L300" s="1" t="s">
        <v>29</v>
      </c>
      <c r="M300" s="18">
        <v>0.5</v>
      </c>
      <c r="N300" s="18">
        <v>0.3</v>
      </c>
      <c r="O300" s="18">
        <f t="shared" si="6"/>
        <v>0.6</v>
      </c>
      <c r="P300" s="19">
        <f t="shared" si="7"/>
        <v>60</v>
      </c>
      <c r="Q300" s="1" t="s">
        <v>420</v>
      </c>
      <c r="R300" s="1" t="s">
        <v>645</v>
      </c>
    </row>
    <row r="301" spans="1:18" ht="15" customHeight="1" x14ac:dyDescent="0.35">
      <c r="A301" s="1">
        <v>11</v>
      </c>
      <c r="B301" s="1" t="s">
        <v>643</v>
      </c>
      <c r="C301" s="1" t="s">
        <v>116</v>
      </c>
      <c r="D301" s="1">
        <v>2022</v>
      </c>
      <c r="E301" s="1" t="s">
        <v>644</v>
      </c>
      <c r="F301" s="1" t="s">
        <v>45</v>
      </c>
      <c r="G301" s="1" t="s">
        <v>119</v>
      </c>
      <c r="H301" s="1" t="b">
        <f>TRUE()</f>
        <v>1</v>
      </c>
      <c r="I301" s="17">
        <v>48</v>
      </c>
      <c r="J301" s="1" t="s">
        <v>419</v>
      </c>
      <c r="K301" s="1" t="s">
        <v>113</v>
      </c>
      <c r="L301" s="1" t="s">
        <v>29</v>
      </c>
      <c r="M301" s="18">
        <v>15</v>
      </c>
      <c r="N301" s="18">
        <v>6</v>
      </c>
      <c r="O301" s="18">
        <f t="shared" si="6"/>
        <v>0.4</v>
      </c>
      <c r="P301" s="19">
        <f t="shared" si="7"/>
        <v>40</v>
      </c>
      <c r="Q301" s="1" t="s">
        <v>420</v>
      </c>
      <c r="R301" s="1" t="s">
        <v>645</v>
      </c>
    </row>
    <row r="302" spans="1:18" ht="15" customHeight="1" x14ac:dyDescent="0.35">
      <c r="A302" s="1">
        <v>11</v>
      </c>
      <c r="B302" s="1" t="s">
        <v>643</v>
      </c>
      <c r="C302" s="1" t="s">
        <v>116</v>
      </c>
      <c r="D302" s="1">
        <v>2022</v>
      </c>
      <c r="E302" s="1" t="s">
        <v>644</v>
      </c>
      <c r="F302" s="1" t="s">
        <v>45</v>
      </c>
      <c r="G302" s="1" t="s">
        <v>119</v>
      </c>
      <c r="H302" s="1" t="b">
        <f>TRUE()</f>
        <v>1</v>
      </c>
      <c r="I302" s="17">
        <v>72</v>
      </c>
      <c r="J302" s="1" t="s">
        <v>419</v>
      </c>
      <c r="K302" s="1" t="s">
        <v>113</v>
      </c>
      <c r="L302" s="1" t="s">
        <v>29</v>
      </c>
      <c r="M302" s="18">
        <v>30</v>
      </c>
      <c r="N302" s="18">
        <v>17</v>
      </c>
      <c r="O302" s="18">
        <f t="shared" si="6"/>
        <v>0.56666666666666665</v>
      </c>
      <c r="P302" s="19">
        <f t="shared" si="7"/>
        <v>56.666666666666664</v>
      </c>
      <c r="Q302" s="1" t="s">
        <v>420</v>
      </c>
      <c r="R302" s="1" t="s">
        <v>645</v>
      </c>
    </row>
    <row r="303" spans="1:18" ht="15" customHeight="1" x14ac:dyDescent="0.35">
      <c r="A303" s="1">
        <v>11</v>
      </c>
      <c r="B303" s="1" t="s">
        <v>643</v>
      </c>
      <c r="C303" s="1" t="s">
        <v>116</v>
      </c>
      <c r="D303" s="1">
        <v>2022</v>
      </c>
      <c r="E303" s="1" t="s">
        <v>644</v>
      </c>
      <c r="F303" s="1" t="s">
        <v>45</v>
      </c>
      <c r="G303" s="1" t="s">
        <v>119</v>
      </c>
      <c r="H303" s="1" t="b">
        <f>TRUE()</f>
        <v>1</v>
      </c>
      <c r="I303" s="17">
        <v>96</v>
      </c>
      <c r="J303" s="1" t="s">
        <v>419</v>
      </c>
      <c r="K303" s="1" t="s">
        <v>113</v>
      </c>
      <c r="L303" s="1" t="s">
        <v>29</v>
      </c>
      <c r="M303" s="18">
        <v>74</v>
      </c>
      <c r="N303" s="18">
        <v>8</v>
      </c>
      <c r="O303" s="18">
        <f t="shared" si="6"/>
        <v>0.10810810810810811</v>
      </c>
      <c r="P303" s="19">
        <f t="shared" si="7"/>
        <v>10.810810810810811</v>
      </c>
      <c r="Q303" s="1" t="s">
        <v>420</v>
      </c>
      <c r="R303" s="1" t="s">
        <v>645</v>
      </c>
    </row>
    <row r="304" spans="1:18" ht="15" customHeight="1" x14ac:dyDescent="0.35">
      <c r="A304" s="1">
        <v>11</v>
      </c>
      <c r="B304" s="1" t="s">
        <v>643</v>
      </c>
      <c r="C304" s="1" t="s">
        <v>116</v>
      </c>
      <c r="D304" s="1">
        <v>2022</v>
      </c>
      <c r="E304" s="1" t="s">
        <v>644</v>
      </c>
      <c r="F304" s="1" t="s">
        <v>45</v>
      </c>
      <c r="G304" s="1" t="s">
        <v>119</v>
      </c>
      <c r="H304" s="1" t="b">
        <f>TRUE()</f>
        <v>1</v>
      </c>
      <c r="I304" s="17">
        <v>24</v>
      </c>
      <c r="J304" s="1" t="s">
        <v>447</v>
      </c>
      <c r="K304" s="1" t="s">
        <v>113</v>
      </c>
      <c r="L304" s="1" t="s">
        <v>121</v>
      </c>
      <c r="M304" s="18">
        <v>0.5</v>
      </c>
      <c r="N304" s="18">
        <v>0.3</v>
      </c>
      <c r="O304" s="18">
        <f t="shared" si="6"/>
        <v>0.6</v>
      </c>
      <c r="P304" s="19">
        <f t="shared" si="7"/>
        <v>60</v>
      </c>
      <c r="Q304" s="1" t="s">
        <v>448</v>
      </c>
      <c r="R304" s="1" t="s">
        <v>646</v>
      </c>
    </row>
    <row r="305" spans="1:18" ht="15" customHeight="1" x14ac:dyDescent="0.35">
      <c r="A305" s="1">
        <v>11</v>
      </c>
      <c r="B305" s="1" t="s">
        <v>643</v>
      </c>
      <c r="C305" s="1" t="s">
        <v>116</v>
      </c>
      <c r="D305" s="1">
        <v>2022</v>
      </c>
      <c r="E305" s="1" t="s">
        <v>644</v>
      </c>
      <c r="F305" s="1" t="s">
        <v>45</v>
      </c>
      <c r="G305" s="1" t="s">
        <v>119</v>
      </c>
      <c r="H305" s="1" t="b">
        <f>TRUE()</f>
        <v>1</v>
      </c>
      <c r="I305" s="17">
        <v>48</v>
      </c>
      <c r="J305" s="1" t="s">
        <v>447</v>
      </c>
      <c r="K305" s="1" t="s">
        <v>113</v>
      </c>
      <c r="L305" s="1" t="s">
        <v>121</v>
      </c>
      <c r="M305" s="18">
        <v>7</v>
      </c>
      <c r="N305" s="18">
        <v>4</v>
      </c>
      <c r="O305" s="18">
        <f t="shared" si="6"/>
        <v>0.5714285714285714</v>
      </c>
      <c r="P305" s="19">
        <f t="shared" si="7"/>
        <v>57.142857142857139</v>
      </c>
      <c r="Q305" s="1" t="s">
        <v>448</v>
      </c>
      <c r="R305" s="1" t="s">
        <v>646</v>
      </c>
    </row>
    <row r="306" spans="1:18" ht="15" customHeight="1" x14ac:dyDescent="0.35">
      <c r="A306" s="1">
        <v>11</v>
      </c>
      <c r="B306" s="1" t="s">
        <v>643</v>
      </c>
      <c r="C306" s="1" t="s">
        <v>116</v>
      </c>
      <c r="D306" s="1">
        <v>2022</v>
      </c>
      <c r="E306" s="1" t="s">
        <v>644</v>
      </c>
      <c r="F306" s="1" t="s">
        <v>45</v>
      </c>
      <c r="G306" s="1" t="s">
        <v>119</v>
      </c>
      <c r="H306" s="1" t="b">
        <f>TRUE()</f>
        <v>1</v>
      </c>
      <c r="I306" s="17">
        <v>72</v>
      </c>
      <c r="J306" s="1" t="s">
        <v>447</v>
      </c>
      <c r="K306" s="1" t="s">
        <v>113</v>
      </c>
      <c r="L306" s="1" t="s">
        <v>121</v>
      </c>
      <c r="M306" s="18">
        <v>33</v>
      </c>
      <c r="N306" s="18">
        <v>21</v>
      </c>
      <c r="O306" s="18">
        <f t="shared" si="6"/>
        <v>0.63636363636363635</v>
      </c>
      <c r="P306" s="19">
        <f t="shared" si="7"/>
        <v>63.636363636363633</v>
      </c>
      <c r="Q306" s="1" t="s">
        <v>448</v>
      </c>
      <c r="R306" s="1" t="s">
        <v>646</v>
      </c>
    </row>
    <row r="307" spans="1:18" ht="15" customHeight="1" x14ac:dyDescent="0.35">
      <c r="A307" s="1">
        <v>11</v>
      </c>
      <c r="B307" s="1" t="s">
        <v>643</v>
      </c>
      <c r="C307" s="1" t="s">
        <v>116</v>
      </c>
      <c r="D307" s="1">
        <v>2022</v>
      </c>
      <c r="E307" s="1" t="s">
        <v>644</v>
      </c>
      <c r="F307" s="1" t="s">
        <v>45</v>
      </c>
      <c r="G307" s="1" t="s">
        <v>119</v>
      </c>
      <c r="H307" s="1" t="b">
        <f>TRUE()</f>
        <v>1</v>
      </c>
      <c r="I307" s="17">
        <v>96</v>
      </c>
      <c r="J307" s="1" t="s">
        <v>447</v>
      </c>
      <c r="K307" s="1" t="s">
        <v>113</v>
      </c>
      <c r="L307" s="1" t="s">
        <v>121</v>
      </c>
      <c r="M307" s="18">
        <v>70</v>
      </c>
      <c r="N307" s="18">
        <v>16</v>
      </c>
      <c r="O307" s="18">
        <f t="shared" si="6"/>
        <v>0.22857142857142856</v>
      </c>
      <c r="P307" s="19">
        <f t="shared" si="7"/>
        <v>22.857142857142858</v>
      </c>
      <c r="Q307" s="1" t="s">
        <v>448</v>
      </c>
      <c r="R307" s="1" t="s">
        <v>646</v>
      </c>
    </row>
    <row r="308" spans="1:18" ht="15" customHeight="1" x14ac:dyDescent="0.35">
      <c r="A308" s="1">
        <v>9</v>
      </c>
      <c r="B308" s="1" t="s">
        <v>647</v>
      </c>
      <c r="C308" s="1" t="s">
        <v>97</v>
      </c>
      <c r="D308" s="1">
        <v>2016</v>
      </c>
      <c r="E308" s="1" t="s">
        <v>648</v>
      </c>
      <c r="F308" s="1" t="s">
        <v>100</v>
      </c>
      <c r="G308" s="1" t="s">
        <v>649</v>
      </c>
      <c r="H308" s="1" t="b">
        <f>TRUE()</f>
        <v>1</v>
      </c>
      <c r="I308" s="17">
        <v>24</v>
      </c>
      <c r="J308" s="1" t="s">
        <v>419</v>
      </c>
      <c r="K308" s="1" t="s">
        <v>27</v>
      </c>
      <c r="L308" s="1" t="s">
        <v>29</v>
      </c>
      <c r="M308" s="18">
        <v>100</v>
      </c>
      <c r="N308" s="18">
        <v>72</v>
      </c>
      <c r="O308" s="18">
        <f t="shared" si="6"/>
        <v>0.72</v>
      </c>
      <c r="P308" s="19">
        <f t="shared" si="7"/>
        <v>72</v>
      </c>
      <c r="Q308" s="1" t="s">
        <v>650</v>
      </c>
      <c r="R308" s="1" t="s">
        <v>651</v>
      </c>
    </row>
    <row r="309" spans="1:18" ht="15" customHeight="1" x14ac:dyDescent="0.35">
      <c r="A309" s="1">
        <v>9</v>
      </c>
      <c r="B309" s="1" t="s">
        <v>647</v>
      </c>
      <c r="C309" s="1" t="s">
        <v>97</v>
      </c>
      <c r="D309" s="1">
        <v>2016</v>
      </c>
      <c r="E309" s="1" t="s">
        <v>648</v>
      </c>
      <c r="F309" s="1" t="s">
        <v>100</v>
      </c>
      <c r="G309" s="1" t="s">
        <v>649</v>
      </c>
      <c r="H309" s="1" t="b">
        <f>TRUE()</f>
        <v>1</v>
      </c>
      <c r="I309" s="17">
        <v>72</v>
      </c>
      <c r="J309" s="1" t="s">
        <v>419</v>
      </c>
      <c r="K309" s="1" t="s">
        <v>27</v>
      </c>
      <c r="L309" s="1" t="s">
        <v>29</v>
      </c>
      <c r="M309" s="18">
        <v>100</v>
      </c>
      <c r="N309" s="18">
        <v>70</v>
      </c>
      <c r="O309" s="18">
        <f t="shared" si="6"/>
        <v>0.7</v>
      </c>
      <c r="P309" s="19">
        <f t="shared" si="7"/>
        <v>70</v>
      </c>
      <c r="Q309" s="1" t="s">
        <v>650</v>
      </c>
      <c r="R309" s="1" t="s">
        <v>651</v>
      </c>
    </row>
    <row r="310" spans="1:18" ht="15" customHeight="1" x14ac:dyDescent="0.35">
      <c r="A310" s="1">
        <v>9</v>
      </c>
      <c r="B310" s="1" t="s">
        <v>647</v>
      </c>
      <c r="C310" s="1" t="s">
        <v>97</v>
      </c>
      <c r="D310" s="1">
        <v>2016</v>
      </c>
      <c r="E310" s="1" t="s">
        <v>648</v>
      </c>
      <c r="F310" s="1" t="s">
        <v>100</v>
      </c>
      <c r="G310" s="1" t="s">
        <v>649</v>
      </c>
      <c r="H310" s="1" t="b">
        <f>TRUE()</f>
        <v>1</v>
      </c>
      <c r="I310" s="17">
        <v>168</v>
      </c>
      <c r="J310" s="1" t="s">
        <v>419</v>
      </c>
      <c r="K310" s="1" t="s">
        <v>27</v>
      </c>
      <c r="L310" s="1" t="s">
        <v>29</v>
      </c>
      <c r="M310" s="18">
        <v>100</v>
      </c>
      <c r="N310" s="18">
        <v>60</v>
      </c>
      <c r="O310" s="18">
        <f t="shared" si="6"/>
        <v>0.6</v>
      </c>
      <c r="P310" s="19">
        <f t="shared" si="7"/>
        <v>60</v>
      </c>
      <c r="Q310" s="1" t="s">
        <v>650</v>
      </c>
      <c r="R310" s="1" t="s">
        <v>651</v>
      </c>
    </row>
    <row r="311" spans="1:18" ht="15" customHeight="1" x14ac:dyDescent="0.35">
      <c r="A311" s="1">
        <v>9</v>
      </c>
      <c r="B311" s="1" t="s">
        <v>647</v>
      </c>
      <c r="C311" s="1" t="s">
        <v>97</v>
      </c>
      <c r="D311" s="1">
        <v>2016</v>
      </c>
      <c r="E311" s="1" t="s">
        <v>648</v>
      </c>
      <c r="F311" s="1" t="s">
        <v>100</v>
      </c>
      <c r="G311" s="1" t="s">
        <v>652</v>
      </c>
      <c r="H311" s="1" t="b">
        <f>TRUE()</f>
        <v>1</v>
      </c>
      <c r="I311" s="17">
        <v>24</v>
      </c>
      <c r="J311" s="1" t="s">
        <v>419</v>
      </c>
      <c r="K311" s="1" t="s">
        <v>27</v>
      </c>
      <c r="L311" s="1" t="s">
        <v>29</v>
      </c>
      <c r="M311" s="18">
        <v>100</v>
      </c>
      <c r="N311" s="18">
        <v>91</v>
      </c>
      <c r="O311" s="18">
        <f t="shared" si="6"/>
        <v>0.91</v>
      </c>
      <c r="P311" s="19">
        <f t="shared" si="7"/>
        <v>91</v>
      </c>
      <c r="Q311" s="1" t="s">
        <v>650</v>
      </c>
      <c r="R311" s="1" t="s">
        <v>653</v>
      </c>
    </row>
    <row r="312" spans="1:18" ht="15" customHeight="1" x14ac:dyDescent="0.35">
      <c r="A312" s="1">
        <v>9</v>
      </c>
      <c r="B312" s="1" t="s">
        <v>647</v>
      </c>
      <c r="C312" s="1" t="s">
        <v>97</v>
      </c>
      <c r="D312" s="1">
        <v>2016</v>
      </c>
      <c r="E312" s="1" t="s">
        <v>648</v>
      </c>
      <c r="F312" s="1" t="s">
        <v>100</v>
      </c>
      <c r="G312" s="1" t="s">
        <v>652</v>
      </c>
      <c r="H312" s="1" t="b">
        <f>TRUE()</f>
        <v>1</v>
      </c>
      <c r="I312" s="17">
        <v>72</v>
      </c>
      <c r="J312" s="1" t="s">
        <v>419</v>
      </c>
      <c r="K312" s="1" t="s">
        <v>27</v>
      </c>
      <c r="L312" s="1" t="s">
        <v>29</v>
      </c>
      <c r="M312" s="18">
        <v>100</v>
      </c>
      <c r="N312" s="18">
        <v>55</v>
      </c>
      <c r="O312" s="18">
        <f t="shared" si="6"/>
        <v>0.55000000000000004</v>
      </c>
      <c r="P312" s="19">
        <f t="shared" si="7"/>
        <v>55.000000000000007</v>
      </c>
      <c r="Q312" s="1" t="s">
        <v>650</v>
      </c>
      <c r="R312" s="1" t="s">
        <v>653</v>
      </c>
    </row>
    <row r="313" spans="1:18" ht="15" customHeight="1" x14ac:dyDescent="0.35">
      <c r="A313" s="1">
        <v>9</v>
      </c>
      <c r="B313" s="1" t="s">
        <v>647</v>
      </c>
      <c r="C313" s="1" t="s">
        <v>97</v>
      </c>
      <c r="D313" s="1">
        <v>2016</v>
      </c>
      <c r="E313" s="1" t="s">
        <v>648</v>
      </c>
      <c r="F313" s="1" t="s">
        <v>100</v>
      </c>
      <c r="G313" s="1" t="s">
        <v>652</v>
      </c>
      <c r="H313" s="1" t="b">
        <f>TRUE()</f>
        <v>1</v>
      </c>
      <c r="I313" s="17">
        <v>168</v>
      </c>
      <c r="J313" s="1" t="s">
        <v>419</v>
      </c>
      <c r="K313" s="1" t="s">
        <v>27</v>
      </c>
      <c r="L313" s="1" t="s">
        <v>29</v>
      </c>
      <c r="M313" s="18">
        <v>100</v>
      </c>
      <c r="N313" s="18">
        <v>40</v>
      </c>
      <c r="O313" s="18">
        <f t="shared" si="6"/>
        <v>0.4</v>
      </c>
      <c r="P313" s="19">
        <f t="shared" si="7"/>
        <v>40</v>
      </c>
      <c r="Q313" s="1" t="s">
        <v>650</v>
      </c>
      <c r="R313" s="1" t="s">
        <v>653</v>
      </c>
    </row>
    <row r="314" spans="1:18" ht="15" customHeight="1" x14ac:dyDescent="0.35">
      <c r="A314" s="1">
        <v>9</v>
      </c>
      <c r="B314" s="1" t="s">
        <v>647</v>
      </c>
      <c r="C314" s="1" t="s">
        <v>97</v>
      </c>
      <c r="D314" s="1">
        <v>2016</v>
      </c>
      <c r="E314" s="1" t="s">
        <v>648</v>
      </c>
      <c r="F314" s="1" t="s">
        <v>100</v>
      </c>
      <c r="G314" s="1" t="s">
        <v>649</v>
      </c>
      <c r="H314" s="1" t="b">
        <f>TRUE()</f>
        <v>1</v>
      </c>
      <c r="I314" s="17">
        <v>24</v>
      </c>
      <c r="J314" s="1" t="s">
        <v>442</v>
      </c>
      <c r="K314" s="1" t="s">
        <v>27</v>
      </c>
      <c r="L314" s="1" t="s">
        <v>154</v>
      </c>
      <c r="M314" s="18">
        <v>1</v>
      </c>
      <c r="N314" s="18">
        <v>0.53</v>
      </c>
      <c r="O314" s="18">
        <f t="shared" si="6"/>
        <v>0.53</v>
      </c>
      <c r="P314" s="19">
        <f t="shared" si="7"/>
        <v>53</v>
      </c>
      <c r="Q314" s="1" t="s">
        <v>654</v>
      </c>
      <c r="R314" s="1" t="s">
        <v>655</v>
      </c>
    </row>
    <row r="315" spans="1:18" ht="15" customHeight="1" x14ac:dyDescent="0.35">
      <c r="A315" s="1">
        <v>9</v>
      </c>
      <c r="B315" s="1" t="s">
        <v>647</v>
      </c>
      <c r="C315" s="1" t="s">
        <v>97</v>
      </c>
      <c r="D315" s="1">
        <v>2016</v>
      </c>
      <c r="E315" s="1" t="s">
        <v>648</v>
      </c>
      <c r="F315" s="1" t="s">
        <v>100</v>
      </c>
      <c r="G315" s="1" t="s">
        <v>649</v>
      </c>
      <c r="H315" s="1" t="b">
        <f>TRUE()</f>
        <v>1</v>
      </c>
      <c r="I315" s="17">
        <v>72</v>
      </c>
      <c r="J315" s="1" t="s">
        <v>442</v>
      </c>
      <c r="K315" s="1" t="s">
        <v>27</v>
      </c>
      <c r="L315" s="1" t="s">
        <v>154</v>
      </c>
      <c r="M315" s="18">
        <v>1</v>
      </c>
      <c r="N315" s="18">
        <v>0.39</v>
      </c>
      <c r="O315" s="18">
        <f t="shared" si="6"/>
        <v>0.39</v>
      </c>
      <c r="P315" s="19">
        <f t="shared" si="7"/>
        <v>39</v>
      </c>
      <c r="Q315" s="1" t="s">
        <v>654</v>
      </c>
      <c r="R315" s="1" t="s">
        <v>655</v>
      </c>
    </row>
    <row r="316" spans="1:18" ht="15" customHeight="1" x14ac:dyDescent="0.35">
      <c r="A316" s="1">
        <v>9</v>
      </c>
      <c r="B316" s="1" t="s">
        <v>647</v>
      </c>
      <c r="C316" s="1" t="s">
        <v>97</v>
      </c>
      <c r="D316" s="1">
        <v>2016</v>
      </c>
      <c r="E316" s="1" t="s">
        <v>648</v>
      </c>
      <c r="F316" s="1" t="s">
        <v>100</v>
      </c>
      <c r="G316" s="1" t="s">
        <v>649</v>
      </c>
      <c r="H316" s="1" t="b">
        <f>TRUE()</f>
        <v>1</v>
      </c>
      <c r="I316" s="17">
        <v>168</v>
      </c>
      <c r="J316" s="1" t="s">
        <v>442</v>
      </c>
      <c r="K316" s="1" t="s">
        <v>27</v>
      </c>
      <c r="L316" s="1" t="s">
        <v>154</v>
      </c>
      <c r="M316" s="18">
        <v>1</v>
      </c>
      <c r="N316" s="18">
        <v>5.5E-2</v>
      </c>
      <c r="O316" s="18">
        <f t="shared" si="6"/>
        <v>5.5E-2</v>
      </c>
      <c r="P316" s="19">
        <f t="shared" si="7"/>
        <v>5.5</v>
      </c>
      <c r="Q316" s="1" t="s">
        <v>654</v>
      </c>
      <c r="R316" s="1" t="s">
        <v>655</v>
      </c>
    </row>
    <row r="317" spans="1:18" ht="15" customHeight="1" x14ac:dyDescent="0.35">
      <c r="A317" s="1">
        <v>9</v>
      </c>
      <c r="B317" s="1" t="s">
        <v>647</v>
      </c>
      <c r="C317" s="1" t="s">
        <v>97</v>
      </c>
      <c r="D317" s="1">
        <v>2016</v>
      </c>
      <c r="E317" s="1" t="s">
        <v>648</v>
      </c>
      <c r="F317" s="1" t="s">
        <v>100</v>
      </c>
      <c r="G317" s="1" t="s">
        <v>652</v>
      </c>
      <c r="H317" s="1" t="b">
        <f>TRUE()</f>
        <v>1</v>
      </c>
      <c r="I317" s="17">
        <v>24</v>
      </c>
      <c r="J317" s="1" t="s">
        <v>442</v>
      </c>
      <c r="K317" s="1" t="s">
        <v>27</v>
      </c>
      <c r="L317" s="1" t="s">
        <v>154</v>
      </c>
      <c r="M317" s="18">
        <v>1</v>
      </c>
      <c r="N317" s="18">
        <v>0.26</v>
      </c>
      <c r="O317" s="18">
        <f t="shared" si="6"/>
        <v>0.26</v>
      </c>
      <c r="P317" s="19">
        <f t="shared" si="7"/>
        <v>26</v>
      </c>
      <c r="Q317" s="1" t="s">
        <v>654</v>
      </c>
      <c r="R317" s="1" t="s">
        <v>656</v>
      </c>
    </row>
    <row r="318" spans="1:18" ht="15" customHeight="1" x14ac:dyDescent="0.35">
      <c r="A318" s="1">
        <v>9</v>
      </c>
      <c r="B318" s="1" t="s">
        <v>647</v>
      </c>
      <c r="C318" s="1" t="s">
        <v>97</v>
      </c>
      <c r="D318" s="1">
        <v>2016</v>
      </c>
      <c r="E318" s="1" t="s">
        <v>648</v>
      </c>
      <c r="F318" s="1" t="s">
        <v>100</v>
      </c>
      <c r="G318" s="1" t="s">
        <v>652</v>
      </c>
      <c r="H318" s="1" t="b">
        <f>TRUE()</f>
        <v>1</v>
      </c>
      <c r="I318" s="17">
        <v>72</v>
      </c>
      <c r="J318" s="1" t="s">
        <v>442</v>
      </c>
      <c r="K318" s="1" t="s">
        <v>27</v>
      </c>
      <c r="L318" s="1" t="s">
        <v>154</v>
      </c>
      <c r="M318" s="18">
        <v>1</v>
      </c>
      <c r="N318" s="18">
        <v>0.22</v>
      </c>
      <c r="O318" s="18">
        <f t="shared" si="6"/>
        <v>0.22</v>
      </c>
      <c r="P318" s="19">
        <f t="shared" si="7"/>
        <v>22</v>
      </c>
      <c r="Q318" s="1" t="s">
        <v>654</v>
      </c>
      <c r="R318" s="1" t="s">
        <v>656</v>
      </c>
    </row>
    <row r="319" spans="1:18" ht="15" customHeight="1" x14ac:dyDescent="0.35">
      <c r="A319" s="1">
        <v>9</v>
      </c>
      <c r="B319" s="1" t="s">
        <v>647</v>
      </c>
      <c r="C319" s="1" t="s">
        <v>97</v>
      </c>
      <c r="D319" s="1">
        <v>2016</v>
      </c>
      <c r="E319" s="1" t="s">
        <v>648</v>
      </c>
      <c r="F319" s="1" t="s">
        <v>100</v>
      </c>
      <c r="G319" s="1" t="s">
        <v>652</v>
      </c>
      <c r="H319" s="1" t="b">
        <f>TRUE()</f>
        <v>1</v>
      </c>
      <c r="I319" s="17">
        <v>168</v>
      </c>
      <c r="J319" s="1" t="s">
        <v>442</v>
      </c>
      <c r="K319" s="1" t="s">
        <v>27</v>
      </c>
      <c r="L319" s="1" t="s">
        <v>154</v>
      </c>
      <c r="M319" s="18">
        <v>1</v>
      </c>
      <c r="N319" s="18">
        <v>4.4999999999999998E-2</v>
      </c>
      <c r="O319" s="18">
        <f t="shared" si="6"/>
        <v>4.4999999999999998E-2</v>
      </c>
      <c r="P319" s="19">
        <f t="shared" si="7"/>
        <v>4.5</v>
      </c>
      <c r="Q319" s="1" t="s">
        <v>654</v>
      </c>
      <c r="R319" s="1" t="s">
        <v>656</v>
      </c>
    </row>
    <row r="320" spans="1:18" ht="15" customHeight="1" x14ac:dyDescent="0.35">
      <c r="A320" s="1">
        <v>9</v>
      </c>
      <c r="B320" s="1" t="s">
        <v>647</v>
      </c>
      <c r="C320" s="1" t="s">
        <v>97</v>
      </c>
      <c r="D320" s="1">
        <v>2016</v>
      </c>
      <c r="E320" s="1" t="s">
        <v>648</v>
      </c>
      <c r="F320" s="1" t="s">
        <v>100</v>
      </c>
      <c r="G320" s="1" t="s">
        <v>649</v>
      </c>
      <c r="H320" s="1" t="b">
        <f>TRUE()</f>
        <v>1</v>
      </c>
      <c r="I320" s="17">
        <v>168</v>
      </c>
      <c r="J320" s="1" t="s">
        <v>424</v>
      </c>
      <c r="K320" s="1" t="s">
        <v>27</v>
      </c>
      <c r="L320" s="1" t="s">
        <v>657</v>
      </c>
      <c r="M320" s="18">
        <v>105</v>
      </c>
      <c r="N320" s="18">
        <v>62.5</v>
      </c>
      <c r="O320" s="18">
        <f t="shared" si="6"/>
        <v>0.59523809523809523</v>
      </c>
      <c r="P320" s="19">
        <f t="shared" si="7"/>
        <v>59.523809523809526</v>
      </c>
      <c r="Q320" s="1" t="s">
        <v>658</v>
      </c>
      <c r="R320" s="1" t="s">
        <v>659</v>
      </c>
    </row>
    <row r="321" spans="1:18" ht="15" customHeight="1" x14ac:dyDescent="0.35">
      <c r="A321" s="1">
        <v>9</v>
      </c>
      <c r="B321" s="1" t="s">
        <v>647</v>
      </c>
      <c r="C321" s="1" t="s">
        <v>97</v>
      </c>
      <c r="D321" s="1">
        <v>2016</v>
      </c>
      <c r="E321" s="1" t="s">
        <v>648</v>
      </c>
      <c r="F321" s="1" t="s">
        <v>100</v>
      </c>
      <c r="G321" s="1" t="s">
        <v>652</v>
      </c>
      <c r="H321" s="1" t="b">
        <f>TRUE()</f>
        <v>1</v>
      </c>
      <c r="I321" s="17">
        <v>168</v>
      </c>
      <c r="J321" s="1" t="s">
        <v>424</v>
      </c>
      <c r="K321" s="1" t="s">
        <v>27</v>
      </c>
      <c r="L321" s="1" t="s">
        <v>657</v>
      </c>
      <c r="M321" s="18">
        <v>105</v>
      </c>
      <c r="N321" s="18">
        <v>42.5</v>
      </c>
      <c r="O321" s="18">
        <f t="shared" si="6"/>
        <v>0.40476190476190477</v>
      </c>
      <c r="P321" s="19">
        <f t="shared" si="7"/>
        <v>40.476190476190474</v>
      </c>
      <c r="Q321" s="1" t="s">
        <v>658</v>
      </c>
      <c r="R321" s="1" t="s">
        <v>660</v>
      </c>
    </row>
    <row r="322" spans="1:18" ht="15" customHeight="1" x14ac:dyDescent="0.35">
      <c r="A322" s="1">
        <v>8</v>
      </c>
      <c r="B322" s="1" t="s">
        <v>661</v>
      </c>
      <c r="C322" s="1" t="s">
        <v>86</v>
      </c>
      <c r="D322" s="1">
        <v>2017</v>
      </c>
      <c r="E322" s="1" t="s">
        <v>662</v>
      </c>
      <c r="F322" s="1" t="s">
        <v>89</v>
      </c>
      <c r="G322" s="1" t="s">
        <v>91</v>
      </c>
      <c r="H322" s="1" t="b">
        <f>TRUE()</f>
        <v>1</v>
      </c>
      <c r="I322" s="17">
        <v>0</v>
      </c>
      <c r="J322" s="1" t="s">
        <v>419</v>
      </c>
      <c r="K322" s="1" t="s">
        <v>73</v>
      </c>
      <c r="L322" s="1" t="s">
        <v>29</v>
      </c>
      <c r="M322" s="18"/>
      <c r="N322" s="18"/>
      <c r="O322" s="18">
        <v>0.04</v>
      </c>
      <c r="P322" s="19">
        <v>4</v>
      </c>
      <c r="Q322" s="1" t="s">
        <v>663</v>
      </c>
      <c r="R322" s="1" t="s">
        <v>664</v>
      </c>
    </row>
    <row r="323" spans="1:18" ht="15" customHeight="1" x14ac:dyDescent="0.35">
      <c r="A323" s="1">
        <v>8</v>
      </c>
      <c r="B323" s="1" t="s">
        <v>661</v>
      </c>
      <c r="C323" s="1" t="s">
        <v>86</v>
      </c>
      <c r="D323" s="1">
        <v>2017</v>
      </c>
      <c r="E323" s="1" t="s">
        <v>662</v>
      </c>
      <c r="F323" s="1" t="s">
        <v>89</v>
      </c>
      <c r="G323" s="1" t="s">
        <v>91</v>
      </c>
      <c r="H323" s="1" t="b">
        <f>TRUE()</f>
        <v>1</v>
      </c>
      <c r="I323" s="17">
        <v>0</v>
      </c>
      <c r="J323" s="1" t="s">
        <v>424</v>
      </c>
      <c r="K323" s="1" t="s">
        <v>73</v>
      </c>
      <c r="L323" s="1" t="s">
        <v>665</v>
      </c>
      <c r="M323" s="18">
        <v>4300000000</v>
      </c>
      <c r="N323" s="18">
        <v>2100000000</v>
      </c>
      <c r="O323" s="18">
        <f t="shared" ref="O323:O358" si="8">N323/M323</f>
        <v>0.48837209302325579</v>
      </c>
      <c r="P323" s="19">
        <f t="shared" ref="P323:P358" si="9">O323*100</f>
        <v>48.837209302325576</v>
      </c>
      <c r="Q323" s="1" t="s">
        <v>666</v>
      </c>
      <c r="R323" s="1" t="s">
        <v>667</v>
      </c>
    </row>
    <row r="324" spans="1:18" ht="15" customHeight="1" x14ac:dyDescent="0.35">
      <c r="A324" s="1">
        <v>7</v>
      </c>
      <c r="B324" s="1" t="s">
        <v>668</v>
      </c>
      <c r="C324" s="1" t="s">
        <v>77</v>
      </c>
      <c r="D324" s="1">
        <v>2018</v>
      </c>
      <c r="E324" s="1" t="s">
        <v>669</v>
      </c>
      <c r="F324" s="1" t="s">
        <v>22</v>
      </c>
      <c r="G324" s="1" t="s">
        <v>80</v>
      </c>
      <c r="H324" s="1" t="b">
        <f>TRUE()</f>
        <v>1</v>
      </c>
      <c r="I324" s="17">
        <v>120</v>
      </c>
      <c r="J324" s="1" t="s">
        <v>419</v>
      </c>
      <c r="K324" s="1" t="s">
        <v>27</v>
      </c>
      <c r="L324" s="1" t="s">
        <v>29</v>
      </c>
      <c r="M324" s="18">
        <v>1.9</v>
      </c>
      <c r="N324" s="18">
        <v>2.2999999999999998</v>
      </c>
      <c r="O324" s="18">
        <f t="shared" si="8"/>
        <v>1.2105263157894737</v>
      </c>
      <c r="P324" s="19">
        <f t="shared" si="9"/>
        <v>121.05263157894737</v>
      </c>
      <c r="Q324" s="1" t="s">
        <v>420</v>
      </c>
      <c r="R324" s="1" t="s">
        <v>670</v>
      </c>
    </row>
    <row r="325" spans="1:18" ht="15" customHeight="1" x14ac:dyDescent="0.35">
      <c r="A325" s="1">
        <v>7</v>
      </c>
      <c r="B325" s="1" t="s">
        <v>668</v>
      </c>
      <c r="C325" s="1" t="s">
        <v>77</v>
      </c>
      <c r="D325" s="1">
        <v>2018</v>
      </c>
      <c r="E325" s="1" t="s">
        <v>669</v>
      </c>
      <c r="F325" s="1" t="s">
        <v>22</v>
      </c>
      <c r="G325" s="1" t="s">
        <v>80</v>
      </c>
      <c r="H325" s="1" t="b">
        <f>TRUE()</f>
        <v>1</v>
      </c>
      <c r="I325" s="17">
        <v>240</v>
      </c>
      <c r="J325" s="1" t="s">
        <v>419</v>
      </c>
      <c r="K325" s="1" t="s">
        <v>27</v>
      </c>
      <c r="L325" s="1" t="s">
        <v>29</v>
      </c>
      <c r="M325" s="18">
        <v>5.7</v>
      </c>
      <c r="N325" s="18">
        <v>1.8</v>
      </c>
      <c r="O325" s="18">
        <f t="shared" si="8"/>
        <v>0.31578947368421051</v>
      </c>
      <c r="P325" s="19">
        <f t="shared" si="9"/>
        <v>31.578947368421051</v>
      </c>
      <c r="Q325" s="1" t="s">
        <v>420</v>
      </c>
      <c r="R325" s="1" t="s">
        <v>670</v>
      </c>
    </row>
    <row r="326" spans="1:18" ht="15" customHeight="1" x14ac:dyDescent="0.35">
      <c r="A326" s="1">
        <v>7</v>
      </c>
      <c r="B326" s="1" t="s">
        <v>668</v>
      </c>
      <c r="C326" s="1" t="s">
        <v>77</v>
      </c>
      <c r="D326" s="1">
        <v>2018</v>
      </c>
      <c r="E326" s="1" t="s">
        <v>669</v>
      </c>
      <c r="F326" s="1" t="s">
        <v>22</v>
      </c>
      <c r="G326" s="1" t="s">
        <v>80</v>
      </c>
      <c r="H326" s="1" t="b">
        <f>TRUE()</f>
        <v>1</v>
      </c>
      <c r="I326" s="17">
        <v>360</v>
      </c>
      <c r="J326" s="1" t="s">
        <v>419</v>
      </c>
      <c r="K326" s="1" t="s">
        <v>27</v>
      </c>
      <c r="L326" s="1" t="s">
        <v>29</v>
      </c>
      <c r="M326" s="18">
        <v>18</v>
      </c>
      <c r="N326" s="18">
        <v>1.7</v>
      </c>
      <c r="O326" s="18">
        <f t="shared" si="8"/>
        <v>9.4444444444444442E-2</v>
      </c>
      <c r="P326" s="19">
        <f t="shared" si="9"/>
        <v>9.4444444444444446</v>
      </c>
      <c r="Q326" s="1" t="s">
        <v>420</v>
      </c>
      <c r="R326" s="1" t="s">
        <v>670</v>
      </c>
    </row>
    <row r="327" spans="1:18" ht="15" customHeight="1" x14ac:dyDescent="0.35">
      <c r="A327" s="1">
        <v>7</v>
      </c>
      <c r="B327" s="1" t="s">
        <v>668</v>
      </c>
      <c r="C327" s="1" t="s">
        <v>77</v>
      </c>
      <c r="D327" s="1">
        <v>2018</v>
      </c>
      <c r="E327" s="1" t="s">
        <v>669</v>
      </c>
      <c r="F327" s="1" t="s">
        <v>22</v>
      </c>
      <c r="G327" s="1" t="s">
        <v>80</v>
      </c>
      <c r="H327" s="1" t="b">
        <f>TRUE()</f>
        <v>1</v>
      </c>
      <c r="I327" s="17">
        <v>480</v>
      </c>
      <c r="J327" s="1" t="s">
        <v>419</v>
      </c>
      <c r="K327" s="1" t="s">
        <v>27</v>
      </c>
      <c r="L327" s="1" t="s">
        <v>29</v>
      </c>
      <c r="M327" s="18">
        <v>15.5</v>
      </c>
      <c r="N327" s="18">
        <v>1</v>
      </c>
      <c r="O327" s="18">
        <f t="shared" si="8"/>
        <v>6.4516129032258063E-2</v>
      </c>
      <c r="P327" s="19">
        <f t="shared" si="9"/>
        <v>6.4516129032258061</v>
      </c>
      <c r="Q327" s="1" t="s">
        <v>420</v>
      </c>
      <c r="R327" s="1" t="s">
        <v>670</v>
      </c>
    </row>
    <row r="328" spans="1:18" ht="15" customHeight="1" x14ac:dyDescent="0.35">
      <c r="A328" s="1">
        <v>7</v>
      </c>
      <c r="B328" s="1" t="s">
        <v>668</v>
      </c>
      <c r="C328" s="1" t="s">
        <v>77</v>
      </c>
      <c r="D328" s="1">
        <v>2018</v>
      </c>
      <c r="E328" s="1" t="s">
        <v>669</v>
      </c>
      <c r="F328" s="1" t="s">
        <v>22</v>
      </c>
      <c r="G328" s="1" t="s">
        <v>80</v>
      </c>
      <c r="H328" s="1" t="b">
        <f>TRUE()</f>
        <v>1</v>
      </c>
      <c r="I328" s="17">
        <v>120</v>
      </c>
      <c r="J328" s="1" t="s">
        <v>424</v>
      </c>
      <c r="K328" s="1" t="s">
        <v>27</v>
      </c>
      <c r="L328" s="1" t="s">
        <v>38</v>
      </c>
      <c r="M328" s="18">
        <v>800000</v>
      </c>
      <c r="N328" s="18">
        <v>1000000</v>
      </c>
      <c r="O328" s="18">
        <f t="shared" si="8"/>
        <v>1.25</v>
      </c>
      <c r="P328" s="19">
        <f t="shared" si="9"/>
        <v>125</v>
      </c>
      <c r="Q328" s="1" t="s">
        <v>219</v>
      </c>
      <c r="R328" s="1" t="s">
        <v>671</v>
      </c>
    </row>
    <row r="329" spans="1:18" ht="15" customHeight="1" x14ac:dyDescent="0.35">
      <c r="A329" s="1">
        <v>7</v>
      </c>
      <c r="B329" s="1" t="s">
        <v>668</v>
      </c>
      <c r="C329" s="1" t="s">
        <v>77</v>
      </c>
      <c r="D329" s="1">
        <v>2018</v>
      </c>
      <c r="E329" s="1" t="s">
        <v>669</v>
      </c>
      <c r="F329" s="1" t="s">
        <v>22</v>
      </c>
      <c r="G329" s="1" t="s">
        <v>80</v>
      </c>
      <c r="H329" s="1" t="b">
        <f>TRUE()</f>
        <v>1</v>
      </c>
      <c r="I329" s="17">
        <v>240</v>
      </c>
      <c r="J329" s="1" t="s">
        <v>424</v>
      </c>
      <c r="K329" s="1" t="s">
        <v>27</v>
      </c>
      <c r="L329" s="1" t="s">
        <v>38</v>
      </c>
      <c r="M329" s="18">
        <v>48000000</v>
      </c>
      <c r="N329" s="18">
        <v>27000000</v>
      </c>
      <c r="O329" s="18">
        <f t="shared" si="8"/>
        <v>0.5625</v>
      </c>
      <c r="P329" s="19">
        <f t="shared" si="9"/>
        <v>56.25</v>
      </c>
      <c r="Q329" s="1" t="s">
        <v>219</v>
      </c>
      <c r="R329" s="1" t="s">
        <v>671</v>
      </c>
    </row>
    <row r="330" spans="1:18" ht="15" customHeight="1" x14ac:dyDescent="0.35">
      <c r="A330" s="1">
        <v>7</v>
      </c>
      <c r="B330" s="1" t="s">
        <v>668</v>
      </c>
      <c r="C330" s="1" t="s">
        <v>77</v>
      </c>
      <c r="D330" s="1">
        <v>2018</v>
      </c>
      <c r="E330" s="1" t="s">
        <v>669</v>
      </c>
      <c r="F330" s="1" t="s">
        <v>22</v>
      </c>
      <c r="G330" s="1" t="s">
        <v>80</v>
      </c>
      <c r="H330" s="1" t="b">
        <f>TRUE()</f>
        <v>1</v>
      </c>
      <c r="I330" s="17">
        <v>360</v>
      </c>
      <c r="J330" s="1" t="s">
        <v>424</v>
      </c>
      <c r="K330" s="1" t="s">
        <v>27</v>
      </c>
      <c r="L330" s="1" t="s">
        <v>38</v>
      </c>
      <c r="M330" s="18">
        <v>62000000</v>
      </c>
      <c r="N330" s="18">
        <v>29000000</v>
      </c>
      <c r="O330" s="18">
        <f t="shared" si="8"/>
        <v>0.46774193548387094</v>
      </c>
      <c r="P330" s="19">
        <f t="shared" si="9"/>
        <v>46.774193548387096</v>
      </c>
      <c r="Q330" s="1" t="s">
        <v>219</v>
      </c>
      <c r="R330" s="1" t="s">
        <v>671</v>
      </c>
    </row>
    <row r="331" spans="1:18" ht="15" customHeight="1" x14ac:dyDescent="0.35">
      <c r="A331" s="1">
        <v>7</v>
      </c>
      <c r="B331" s="1" t="s">
        <v>668</v>
      </c>
      <c r="C331" s="1" t="s">
        <v>77</v>
      </c>
      <c r="D331" s="1">
        <v>2018</v>
      </c>
      <c r="E331" s="1" t="s">
        <v>669</v>
      </c>
      <c r="F331" s="1" t="s">
        <v>22</v>
      </c>
      <c r="G331" s="1" t="s">
        <v>80</v>
      </c>
      <c r="H331" s="1" t="b">
        <f>TRUE()</f>
        <v>1</v>
      </c>
      <c r="I331" s="17">
        <v>480</v>
      </c>
      <c r="J331" s="1" t="s">
        <v>424</v>
      </c>
      <c r="K331" s="1" t="s">
        <v>27</v>
      </c>
      <c r="L331" s="1" t="s">
        <v>38</v>
      </c>
      <c r="M331" s="18">
        <v>95000000</v>
      </c>
      <c r="N331" s="18">
        <v>43000000</v>
      </c>
      <c r="O331" s="18">
        <f t="shared" si="8"/>
        <v>0.45263157894736844</v>
      </c>
      <c r="P331" s="19">
        <f t="shared" si="9"/>
        <v>45.263157894736842</v>
      </c>
      <c r="Q331" s="1" t="s">
        <v>219</v>
      </c>
      <c r="R331" s="1" t="s">
        <v>671</v>
      </c>
    </row>
    <row r="332" spans="1:18" ht="15" customHeight="1" x14ac:dyDescent="0.35">
      <c r="A332" s="1">
        <v>7</v>
      </c>
      <c r="B332" s="1" t="s">
        <v>668</v>
      </c>
      <c r="C332" s="1" t="s">
        <v>77</v>
      </c>
      <c r="D332" s="1">
        <v>2018</v>
      </c>
      <c r="E332" s="1" t="s">
        <v>669</v>
      </c>
      <c r="F332" s="1" t="s">
        <v>22</v>
      </c>
      <c r="G332" s="1" t="s">
        <v>80</v>
      </c>
      <c r="H332" s="1" t="b">
        <f>TRUE()</f>
        <v>1</v>
      </c>
      <c r="I332" s="17">
        <v>120</v>
      </c>
      <c r="J332" s="1" t="s">
        <v>442</v>
      </c>
      <c r="K332" s="1" t="s">
        <v>27</v>
      </c>
      <c r="L332" s="1" t="s">
        <v>154</v>
      </c>
      <c r="M332" s="18">
        <v>3</v>
      </c>
      <c r="N332" s="18">
        <v>1.2</v>
      </c>
      <c r="O332" s="18">
        <f t="shared" si="8"/>
        <v>0.39999999999999997</v>
      </c>
      <c r="P332" s="19">
        <f t="shared" si="9"/>
        <v>40</v>
      </c>
      <c r="Q332" s="1" t="s">
        <v>672</v>
      </c>
      <c r="R332" s="1" t="s">
        <v>673</v>
      </c>
    </row>
    <row r="333" spans="1:18" ht="15" customHeight="1" x14ac:dyDescent="0.35">
      <c r="A333" s="1">
        <v>7</v>
      </c>
      <c r="B333" s="1" t="s">
        <v>668</v>
      </c>
      <c r="C333" s="1" t="s">
        <v>77</v>
      </c>
      <c r="D333" s="1">
        <v>2018</v>
      </c>
      <c r="E333" s="1" t="s">
        <v>669</v>
      </c>
      <c r="F333" s="1" t="s">
        <v>22</v>
      </c>
      <c r="G333" s="1" t="s">
        <v>80</v>
      </c>
      <c r="H333" s="1" t="b">
        <f>TRUE()</f>
        <v>1</v>
      </c>
      <c r="I333" s="17">
        <v>240</v>
      </c>
      <c r="J333" s="1" t="s">
        <v>442</v>
      </c>
      <c r="K333" s="1" t="s">
        <v>27</v>
      </c>
      <c r="L333" s="1" t="s">
        <v>154</v>
      </c>
      <c r="M333" s="18">
        <v>45</v>
      </c>
      <c r="N333" s="18">
        <v>2</v>
      </c>
      <c r="O333" s="18">
        <f t="shared" si="8"/>
        <v>4.4444444444444446E-2</v>
      </c>
      <c r="P333" s="19">
        <f t="shared" si="9"/>
        <v>4.4444444444444446</v>
      </c>
      <c r="Q333" s="1" t="s">
        <v>672</v>
      </c>
      <c r="R333" s="1" t="s">
        <v>673</v>
      </c>
    </row>
    <row r="334" spans="1:18" ht="15" customHeight="1" x14ac:dyDescent="0.35">
      <c r="A334" s="1">
        <v>7</v>
      </c>
      <c r="B334" s="1" t="s">
        <v>668</v>
      </c>
      <c r="C334" s="1" t="s">
        <v>77</v>
      </c>
      <c r="D334" s="1">
        <v>2018</v>
      </c>
      <c r="E334" s="1" t="s">
        <v>669</v>
      </c>
      <c r="F334" s="1" t="s">
        <v>22</v>
      </c>
      <c r="G334" s="1" t="s">
        <v>80</v>
      </c>
      <c r="H334" s="1" t="b">
        <f>TRUE()</f>
        <v>1</v>
      </c>
      <c r="I334" s="17">
        <v>360</v>
      </c>
      <c r="J334" s="1" t="s">
        <v>442</v>
      </c>
      <c r="K334" s="1" t="s">
        <v>27</v>
      </c>
      <c r="L334" s="1" t="s">
        <v>154</v>
      </c>
      <c r="M334" s="18">
        <v>175</v>
      </c>
      <c r="N334" s="18">
        <v>1.7</v>
      </c>
      <c r="O334" s="18">
        <f t="shared" si="8"/>
        <v>9.7142857142857135E-3</v>
      </c>
      <c r="P334" s="19">
        <f t="shared" si="9"/>
        <v>0.97142857142857131</v>
      </c>
      <c r="Q334" s="1" t="s">
        <v>672</v>
      </c>
      <c r="R334" s="1" t="s">
        <v>673</v>
      </c>
    </row>
    <row r="335" spans="1:18" ht="15" customHeight="1" x14ac:dyDescent="0.35">
      <c r="A335" s="1">
        <v>7</v>
      </c>
      <c r="B335" s="1" t="s">
        <v>668</v>
      </c>
      <c r="C335" s="1" t="s">
        <v>77</v>
      </c>
      <c r="D335" s="1">
        <v>2018</v>
      </c>
      <c r="E335" s="1" t="s">
        <v>669</v>
      </c>
      <c r="F335" s="1" t="s">
        <v>22</v>
      </c>
      <c r="G335" s="1" t="s">
        <v>80</v>
      </c>
      <c r="H335" s="1" t="b">
        <f>TRUE()</f>
        <v>1</v>
      </c>
      <c r="I335" s="17">
        <v>480</v>
      </c>
      <c r="J335" s="1" t="s">
        <v>442</v>
      </c>
      <c r="K335" s="1" t="s">
        <v>27</v>
      </c>
      <c r="L335" s="1" t="s">
        <v>154</v>
      </c>
      <c r="M335" s="18">
        <v>210</v>
      </c>
      <c r="N335" s="18">
        <v>2.8</v>
      </c>
      <c r="O335" s="18">
        <f t="shared" si="8"/>
        <v>1.3333333333333332E-2</v>
      </c>
      <c r="P335" s="19">
        <f t="shared" si="9"/>
        <v>1.3333333333333333</v>
      </c>
      <c r="Q335" s="1" t="s">
        <v>672</v>
      </c>
      <c r="R335" s="1" t="s">
        <v>673</v>
      </c>
    </row>
    <row r="336" spans="1:18" ht="14.5" x14ac:dyDescent="0.35">
      <c r="A336" s="1">
        <v>2</v>
      </c>
      <c r="B336" s="1" t="s">
        <v>674</v>
      </c>
      <c r="C336" s="1" t="s">
        <v>32</v>
      </c>
      <c r="D336" s="1">
        <v>2016</v>
      </c>
      <c r="E336" s="1" t="s">
        <v>675</v>
      </c>
      <c r="F336" s="1" t="s">
        <v>22</v>
      </c>
      <c r="G336" s="1" t="s">
        <v>35</v>
      </c>
      <c r="H336" s="1" t="b">
        <f>TRUE()</f>
        <v>1</v>
      </c>
      <c r="I336" s="17">
        <v>0</v>
      </c>
      <c r="J336" s="1" t="s">
        <v>424</v>
      </c>
      <c r="K336" s="1" t="s">
        <v>37</v>
      </c>
      <c r="L336" s="1" t="s">
        <v>563</v>
      </c>
      <c r="M336" s="18">
        <v>680000</v>
      </c>
      <c r="N336" s="18">
        <v>180000</v>
      </c>
      <c r="O336" s="18">
        <f t="shared" si="8"/>
        <v>0.26470588235294118</v>
      </c>
      <c r="P336" s="19">
        <f t="shared" si="9"/>
        <v>26.47058823529412</v>
      </c>
      <c r="Q336" s="1" t="s">
        <v>219</v>
      </c>
      <c r="R336" s="1" t="s">
        <v>676</v>
      </c>
    </row>
    <row r="337" spans="1:18" ht="14.5" x14ac:dyDescent="0.35">
      <c r="A337" s="1">
        <v>3</v>
      </c>
      <c r="B337" s="1" t="s">
        <v>677</v>
      </c>
      <c r="C337" s="1" t="s">
        <v>42</v>
      </c>
      <c r="D337" s="1">
        <v>2019</v>
      </c>
      <c r="E337" s="1" t="s">
        <v>678</v>
      </c>
      <c r="F337" s="1" t="s">
        <v>45</v>
      </c>
      <c r="G337" s="1" t="s">
        <v>47</v>
      </c>
      <c r="H337" s="1" t="b">
        <f>TRUE()</f>
        <v>1</v>
      </c>
      <c r="I337" s="17">
        <v>24</v>
      </c>
      <c r="J337" s="1" t="s">
        <v>419</v>
      </c>
      <c r="K337" s="1" t="s">
        <v>49</v>
      </c>
      <c r="L337" s="1" t="s">
        <v>29</v>
      </c>
      <c r="M337" s="18">
        <v>1</v>
      </c>
      <c r="N337" s="18">
        <v>0.68</v>
      </c>
      <c r="O337" s="18">
        <f t="shared" si="8"/>
        <v>0.68</v>
      </c>
      <c r="P337" s="19">
        <f t="shared" si="9"/>
        <v>68</v>
      </c>
      <c r="Q337" s="1" t="s">
        <v>420</v>
      </c>
      <c r="R337" s="1" t="s">
        <v>679</v>
      </c>
    </row>
    <row r="338" spans="1:18" ht="14.5" x14ac:dyDescent="0.35">
      <c r="A338" s="1">
        <v>3</v>
      </c>
      <c r="B338" s="1" t="s">
        <v>677</v>
      </c>
      <c r="C338" s="1" t="s">
        <v>42</v>
      </c>
      <c r="D338" s="1">
        <v>2019</v>
      </c>
      <c r="E338" s="1" t="s">
        <v>678</v>
      </c>
      <c r="F338" s="1" t="s">
        <v>45</v>
      </c>
      <c r="G338" s="1" t="s">
        <v>47</v>
      </c>
      <c r="H338" s="1" t="b">
        <f>TRUE()</f>
        <v>1</v>
      </c>
      <c r="I338" s="17">
        <v>144</v>
      </c>
      <c r="J338" s="1" t="s">
        <v>419</v>
      </c>
      <c r="K338" s="1" t="s">
        <v>49</v>
      </c>
      <c r="L338" s="1" t="s">
        <v>29</v>
      </c>
      <c r="M338" s="18">
        <v>1</v>
      </c>
      <c r="N338" s="18">
        <v>0.44</v>
      </c>
      <c r="O338" s="18">
        <f t="shared" si="8"/>
        <v>0.44</v>
      </c>
      <c r="P338" s="19">
        <f t="shared" si="9"/>
        <v>44</v>
      </c>
      <c r="Q338" s="1" t="s">
        <v>420</v>
      </c>
      <c r="R338" s="1" t="s">
        <v>679</v>
      </c>
    </row>
    <row r="339" spans="1:18" ht="14.5" x14ac:dyDescent="0.35">
      <c r="A339" s="1">
        <v>3</v>
      </c>
      <c r="B339" s="1" t="s">
        <v>677</v>
      </c>
      <c r="C339" s="1" t="s">
        <v>42</v>
      </c>
      <c r="D339" s="1">
        <v>2019</v>
      </c>
      <c r="E339" s="1" t="s">
        <v>678</v>
      </c>
      <c r="F339" s="1" t="s">
        <v>45</v>
      </c>
      <c r="G339" s="1" t="s">
        <v>47</v>
      </c>
      <c r="H339" s="1" t="b">
        <f>TRUE()</f>
        <v>1</v>
      </c>
      <c r="I339" s="17">
        <v>24</v>
      </c>
      <c r="J339" s="1" t="s">
        <v>447</v>
      </c>
      <c r="K339" s="1" t="s">
        <v>49</v>
      </c>
      <c r="L339" s="1" t="s">
        <v>121</v>
      </c>
      <c r="M339" s="18">
        <v>670000</v>
      </c>
      <c r="N339" s="18">
        <v>640000</v>
      </c>
      <c r="O339" s="18">
        <f t="shared" si="8"/>
        <v>0.95522388059701491</v>
      </c>
      <c r="P339" s="19">
        <f t="shared" si="9"/>
        <v>95.522388059701484</v>
      </c>
      <c r="Q339" s="1" t="s">
        <v>448</v>
      </c>
      <c r="R339" s="1" t="s">
        <v>680</v>
      </c>
    </row>
    <row r="340" spans="1:18" ht="14.5" x14ac:dyDescent="0.35">
      <c r="A340" s="1">
        <v>3</v>
      </c>
      <c r="B340" s="1" t="s">
        <v>677</v>
      </c>
      <c r="C340" s="1" t="s">
        <v>42</v>
      </c>
      <c r="D340" s="1">
        <v>2019</v>
      </c>
      <c r="E340" s="1" t="s">
        <v>678</v>
      </c>
      <c r="F340" s="1" t="s">
        <v>45</v>
      </c>
      <c r="G340" s="1" t="s">
        <v>47</v>
      </c>
      <c r="H340" s="1" t="b">
        <f>TRUE()</f>
        <v>1</v>
      </c>
      <c r="I340" s="17">
        <v>144</v>
      </c>
      <c r="J340" s="1" t="s">
        <v>447</v>
      </c>
      <c r="K340" s="1" t="s">
        <v>49</v>
      </c>
      <c r="L340" s="1" t="s">
        <v>121</v>
      </c>
      <c r="M340" s="18">
        <v>2050000</v>
      </c>
      <c r="N340" s="18">
        <v>1150000</v>
      </c>
      <c r="O340" s="18">
        <f t="shared" si="8"/>
        <v>0.56097560975609762</v>
      </c>
      <c r="P340" s="19">
        <f t="shared" si="9"/>
        <v>56.09756097560976</v>
      </c>
      <c r="Q340" s="1" t="s">
        <v>448</v>
      </c>
      <c r="R340" s="1" t="s">
        <v>680</v>
      </c>
    </row>
    <row r="341" spans="1:18" ht="14.5" x14ac:dyDescent="0.35">
      <c r="A341" s="1">
        <v>4</v>
      </c>
      <c r="B341" s="1" t="s">
        <v>681</v>
      </c>
      <c r="C341" s="1" t="s">
        <v>53</v>
      </c>
      <c r="D341" s="1">
        <v>2021</v>
      </c>
      <c r="E341" s="1" t="s">
        <v>682</v>
      </c>
      <c r="F341" s="1" t="s">
        <v>45</v>
      </c>
      <c r="G341" s="1" t="s">
        <v>57</v>
      </c>
      <c r="H341" s="1" t="b">
        <f>TRUE()</f>
        <v>1</v>
      </c>
      <c r="I341" s="17">
        <v>24</v>
      </c>
      <c r="J341" s="1" t="s">
        <v>419</v>
      </c>
      <c r="K341" s="1" t="s">
        <v>49</v>
      </c>
      <c r="L341" s="1" t="s">
        <v>29</v>
      </c>
      <c r="M341" s="18">
        <v>1</v>
      </c>
      <c r="N341" s="18">
        <v>0.62</v>
      </c>
      <c r="O341" s="18">
        <f t="shared" si="8"/>
        <v>0.62</v>
      </c>
      <c r="P341" s="19">
        <f t="shared" si="9"/>
        <v>62</v>
      </c>
      <c r="Q341" s="1" t="s">
        <v>420</v>
      </c>
      <c r="R341" s="1" t="s">
        <v>683</v>
      </c>
    </row>
    <row r="342" spans="1:18" ht="14.5" x14ac:dyDescent="0.35">
      <c r="A342" s="1">
        <v>4</v>
      </c>
      <c r="B342" s="1" t="s">
        <v>681</v>
      </c>
      <c r="C342" s="1" t="s">
        <v>53</v>
      </c>
      <c r="D342" s="1">
        <v>2021</v>
      </c>
      <c r="E342" s="1" t="s">
        <v>682</v>
      </c>
      <c r="F342" s="1" t="s">
        <v>45</v>
      </c>
      <c r="G342" s="1" t="s">
        <v>57</v>
      </c>
      <c r="H342" s="1" t="b">
        <f>TRUE()</f>
        <v>1</v>
      </c>
      <c r="I342" s="17">
        <v>72</v>
      </c>
      <c r="J342" s="1" t="s">
        <v>419</v>
      </c>
      <c r="K342" s="1" t="s">
        <v>49</v>
      </c>
      <c r="L342" s="1" t="s">
        <v>29</v>
      </c>
      <c r="M342" s="18">
        <v>1</v>
      </c>
      <c r="N342" s="18">
        <v>0.56000000000000005</v>
      </c>
      <c r="O342" s="18">
        <f t="shared" si="8"/>
        <v>0.56000000000000005</v>
      </c>
      <c r="P342" s="19">
        <f t="shared" si="9"/>
        <v>56.000000000000007</v>
      </c>
      <c r="Q342" s="1" t="s">
        <v>420</v>
      </c>
      <c r="R342" s="1" t="s">
        <v>683</v>
      </c>
    </row>
    <row r="343" spans="1:18" ht="14.5" x14ac:dyDescent="0.35">
      <c r="A343" s="1">
        <v>4</v>
      </c>
      <c r="B343" s="1" t="s">
        <v>681</v>
      </c>
      <c r="C343" s="1" t="s">
        <v>53</v>
      </c>
      <c r="D343" s="1">
        <v>2021</v>
      </c>
      <c r="E343" s="1" t="s">
        <v>682</v>
      </c>
      <c r="F343" s="1" t="s">
        <v>45</v>
      </c>
      <c r="G343" s="1" t="s">
        <v>57</v>
      </c>
      <c r="H343" s="1" t="b">
        <f>TRUE()</f>
        <v>1</v>
      </c>
      <c r="I343" s="17">
        <v>120</v>
      </c>
      <c r="J343" s="1" t="s">
        <v>419</v>
      </c>
      <c r="K343" s="1" t="s">
        <v>49</v>
      </c>
      <c r="L343" s="1" t="s">
        <v>29</v>
      </c>
      <c r="M343" s="18">
        <v>1</v>
      </c>
      <c r="N343" s="18">
        <v>0.64</v>
      </c>
      <c r="O343" s="18">
        <f t="shared" si="8"/>
        <v>0.64</v>
      </c>
      <c r="P343" s="19">
        <f t="shared" si="9"/>
        <v>64</v>
      </c>
      <c r="Q343" s="1" t="s">
        <v>420</v>
      </c>
      <c r="R343" s="1" t="s">
        <v>683</v>
      </c>
    </row>
    <row r="344" spans="1:18" ht="14.5" x14ac:dyDescent="0.35">
      <c r="A344" s="1">
        <v>4</v>
      </c>
      <c r="B344" s="1" t="s">
        <v>681</v>
      </c>
      <c r="C344" s="1" t="s">
        <v>53</v>
      </c>
      <c r="D344" s="1">
        <v>2021</v>
      </c>
      <c r="E344" s="1" t="s">
        <v>682</v>
      </c>
      <c r="F344" s="1" t="s">
        <v>45</v>
      </c>
      <c r="G344" s="1" t="s">
        <v>57</v>
      </c>
      <c r="H344" s="1" t="b">
        <f>TRUE()</f>
        <v>1</v>
      </c>
      <c r="I344" s="17">
        <v>24</v>
      </c>
      <c r="J344" s="1" t="s">
        <v>447</v>
      </c>
      <c r="K344" s="1" t="s">
        <v>49</v>
      </c>
      <c r="L344" s="1" t="s">
        <v>121</v>
      </c>
      <c r="M344" s="18">
        <v>15000</v>
      </c>
      <c r="N344" s="18">
        <v>8000</v>
      </c>
      <c r="O344" s="18">
        <f t="shared" si="8"/>
        <v>0.53333333333333333</v>
      </c>
      <c r="P344" s="19">
        <f t="shared" si="9"/>
        <v>53.333333333333336</v>
      </c>
      <c r="Q344" s="1" t="s">
        <v>448</v>
      </c>
      <c r="R344" s="1" t="s">
        <v>684</v>
      </c>
    </row>
    <row r="345" spans="1:18" ht="14.5" x14ac:dyDescent="0.35">
      <c r="A345" s="1">
        <v>4</v>
      </c>
      <c r="B345" s="1" t="s">
        <v>681</v>
      </c>
      <c r="C345" s="1" t="s">
        <v>53</v>
      </c>
      <c r="D345" s="1">
        <v>2021</v>
      </c>
      <c r="E345" s="1" t="s">
        <v>682</v>
      </c>
      <c r="F345" s="1" t="s">
        <v>45</v>
      </c>
      <c r="G345" s="1" t="s">
        <v>57</v>
      </c>
      <c r="H345" s="1" t="b">
        <f>TRUE()</f>
        <v>1</v>
      </c>
      <c r="I345" s="17">
        <v>72</v>
      </c>
      <c r="J345" s="1" t="s">
        <v>447</v>
      </c>
      <c r="K345" s="1" t="s">
        <v>49</v>
      </c>
      <c r="L345" s="1" t="s">
        <v>121</v>
      </c>
      <c r="M345" s="18">
        <v>340000</v>
      </c>
      <c r="N345" s="18">
        <v>260000</v>
      </c>
      <c r="O345" s="18">
        <f t="shared" si="8"/>
        <v>0.76470588235294112</v>
      </c>
      <c r="P345" s="19">
        <f t="shared" si="9"/>
        <v>76.470588235294116</v>
      </c>
      <c r="Q345" s="1" t="s">
        <v>448</v>
      </c>
      <c r="R345" s="1" t="s">
        <v>684</v>
      </c>
    </row>
    <row r="346" spans="1:18" ht="14.5" x14ac:dyDescent="0.35">
      <c r="A346" s="1">
        <v>4</v>
      </c>
      <c r="B346" s="1" t="s">
        <v>681</v>
      </c>
      <c r="C346" s="1" t="s">
        <v>53</v>
      </c>
      <c r="D346" s="1">
        <v>2021</v>
      </c>
      <c r="E346" s="1" t="s">
        <v>682</v>
      </c>
      <c r="F346" s="1" t="s">
        <v>45</v>
      </c>
      <c r="G346" s="1" t="s">
        <v>57</v>
      </c>
      <c r="H346" s="1" t="b">
        <f>TRUE()</f>
        <v>1</v>
      </c>
      <c r="I346" s="17">
        <v>120</v>
      </c>
      <c r="J346" s="1" t="s">
        <v>447</v>
      </c>
      <c r="K346" s="1" t="s">
        <v>49</v>
      </c>
      <c r="L346" s="1" t="s">
        <v>121</v>
      </c>
      <c r="M346" s="18">
        <v>3500000</v>
      </c>
      <c r="N346" s="18">
        <v>2000000</v>
      </c>
      <c r="O346" s="18">
        <f t="shared" si="8"/>
        <v>0.5714285714285714</v>
      </c>
      <c r="P346" s="19">
        <f t="shared" si="9"/>
        <v>57.142857142857139</v>
      </c>
      <c r="Q346" s="1" t="s">
        <v>448</v>
      </c>
      <c r="R346" s="1" t="s">
        <v>684</v>
      </c>
    </row>
    <row r="347" spans="1:18" ht="14.5" x14ac:dyDescent="0.35">
      <c r="A347" s="1">
        <v>5</v>
      </c>
      <c r="B347" s="1" t="s">
        <v>685</v>
      </c>
      <c r="C347" s="1" t="s">
        <v>42</v>
      </c>
      <c r="D347" s="1">
        <v>2020</v>
      </c>
      <c r="E347" s="1" t="s">
        <v>686</v>
      </c>
      <c r="F347" s="1" t="s">
        <v>45</v>
      </c>
      <c r="G347" s="1" t="s">
        <v>64</v>
      </c>
      <c r="H347" s="1" t="b">
        <f>TRUE()</f>
        <v>1</v>
      </c>
      <c r="I347" s="17">
        <v>24</v>
      </c>
      <c r="J347" s="1" t="s">
        <v>419</v>
      </c>
      <c r="K347" s="1" t="s">
        <v>49</v>
      </c>
      <c r="L347" s="1" t="s">
        <v>29</v>
      </c>
      <c r="M347" s="18">
        <v>1</v>
      </c>
      <c r="N347" s="18">
        <v>0.9</v>
      </c>
      <c r="O347" s="18">
        <f t="shared" si="8"/>
        <v>0.9</v>
      </c>
      <c r="P347" s="19">
        <f t="shared" si="9"/>
        <v>90</v>
      </c>
      <c r="Q347" s="1" t="s">
        <v>420</v>
      </c>
      <c r="R347" s="1" t="s">
        <v>687</v>
      </c>
    </row>
    <row r="348" spans="1:18" ht="14.5" x14ac:dyDescent="0.35">
      <c r="A348" s="1">
        <v>5</v>
      </c>
      <c r="B348" s="1" t="s">
        <v>685</v>
      </c>
      <c r="C348" s="1" t="s">
        <v>42</v>
      </c>
      <c r="D348" s="1">
        <v>2020</v>
      </c>
      <c r="E348" s="1" t="s">
        <v>686</v>
      </c>
      <c r="F348" s="1" t="s">
        <v>45</v>
      </c>
      <c r="G348" s="1" t="s">
        <v>64</v>
      </c>
      <c r="H348" s="1" t="b">
        <f>TRUE()</f>
        <v>1</v>
      </c>
      <c r="I348" s="17">
        <v>72</v>
      </c>
      <c r="J348" s="1" t="s">
        <v>419</v>
      </c>
      <c r="K348" s="1" t="s">
        <v>49</v>
      </c>
      <c r="L348" s="1" t="s">
        <v>29</v>
      </c>
      <c r="M348" s="18">
        <v>1</v>
      </c>
      <c r="N348" s="18">
        <v>0.6</v>
      </c>
      <c r="O348" s="18">
        <f t="shared" si="8"/>
        <v>0.6</v>
      </c>
      <c r="P348" s="19">
        <f t="shared" si="9"/>
        <v>60</v>
      </c>
      <c r="Q348" s="1" t="s">
        <v>420</v>
      </c>
      <c r="R348" s="1" t="s">
        <v>687</v>
      </c>
    </row>
    <row r="349" spans="1:18" ht="14.5" x14ac:dyDescent="0.35">
      <c r="A349" s="1">
        <v>5</v>
      </c>
      <c r="B349" s="1" t="s">
        <v>685</v>
      </c>
      <c r="C349" s="1" t="s">
        <v>42</v>
      </c>
      <c r="D349" s="1">
        <v>2020</v>
      </c>
      <c r="E349" s="1" t="s">
        <v>686</v>
      </c>
      <c r="F349" s="1" t="s">
        <v>45</v>
      </c>
      <c r="G349" s="1" t="s">
        <v>64</v>
      </c>
      <c r="H349" s="1" t="b">
        <f>TRUE()</f>
        <v>1</v>
      </c>
      <c r="I349" s="17">
        <v>120</v>
      </c>
      <c r="J349" s="1" t="s">
        <v>419</v>
      </c>
      <c r="K349" s="1" t="s">
        <v>49</v>
      </c>
      <c r="L349" s="1" t="s">
        <v>29</v>
      </c>
      <c r="M349" s="18">
        <v>1</v>
      </c>
      <c r="N349" s="18">
        <v>0.8</v>
      </c>
      <c r="O349" s="18">
        <f t="shared" si="8"/>
        <v>0.8</v>
      </c>
      <c r="P349" s="19">
        <f t="shared" si="9"/>
        <v>80</v>
      </c>
      <c r="Q349" s="1" t="s">
        <v>420</v>
      </c>
      <c r="R349" s="1" t="s">
        <v>687</v>
      </c>
    </row>
    <row r="350" spans="1:18" ht="14.5" x14ac:dyDescent="0.35">
      <c r="A350" s="1">
        <v>5</v>
      </c>
      <c r="B350" s="1" t="s">
        <v>685</v>
      </c>
      <c r="C350" s="1" t="s">
        <v>42</v>
      </c>
      <c r="D350" s="1">
        <v>2020</v>
      </c>
      <c r="E350" s="1" t="s">
        <v>686</v>
      </c>
      <c r="F350" s="1" t="s">
        <v>45</v>
      </c>
      <c r="G350" s="1" t="s">
        <v>64</v>
      </c>
      <c r="H350" s="1" t="b">
        <f>TRUE()</f>
        <v>1</v>
      </c>
      <c r="I350" s="17">
        <v>24</v>
      </c>
      <c r="J350" s="1" t="s">
        <v>447</v>
      </c>
      <c r="K350" s="1" t="s">
        <v>49</v>
      </c>
      <c r="L350" s="1" t="s">
        <v>121</v>
      </c>
      <c r="M350" s="18">
        <v>38000</v>
      </c>
      <c r="N350" s="18">
        <v>43000</v>
      </c>
      <c r="O350" s="18">
        <f t="shared" si="8"/>
        <v>1.131578947368421</v>
      </c>
      <c r="P350" s="19">
        <f t="shared" si="9"/>
        <v>113.1578947368421</v>
      </c>
      <c r="Q350" s="1" t="s">
        <v>448</v>
      </c>
      <c r="R350" s="1" t="s">
        <v>688</v>
      </c>
    </row>
    <row r="351" spans="1:18" ht="14.5" x14ac:dyDescent="0.35">
      <c r="A351" s="1">
        <v>5</v>
      </c>
      <c r="B351" s="1" t="s">
        <v>685</v>
      </c>
      <c r="C351" s="1" t="s">
        <v>42</v>
      </c>
      <c r="D351" s="1">
        <v>2020</v>
      </c>
      <c r="E351" s="1" t="s">
        <v>686</v>
      </c>
      <c r="F351" s="1" t="s">
        <v>45</v>
      </c>
      <c r="G351" s="1" t="s">
        <v>64</v>
      </c>
      <c r="H351" s="1" t="b">
        <f>TRUE()</f>
        <v>1</v>
      </c>
      <c r="I351" s="17">
        <v>72</v>
      </c>
      <c r="J351" s="1" t="s">
        <v>447</v>
      </c>
      <c r="K351" s="1" t="s">
        <v>49</v>
      </c>
      <c r="L351" s="1" t="s">
        <v>121</v>
      </c>
      <c r="M351" s="18">
        <v>100000</v>
      </c>
      <c r="N351" s="18">
        <v>60000</v>
      </c>
      <c r="O351" s="18">
        <f t="shared" si="8"/>
        <v>0.6</v>
      </c>
      <c r="P351" s="19">
        <f t="shared" si="9"/>
        <v>60</v>
      </c>
      <c r="Q351" s="1" t="s">
        <v>448</v>
      </c>
      <c r="R351" s="1" t="s">
        <v>688</v>
      </c>
    </row>
    <row r="352" spans="1:18" ht="14.5" x14ac:dyDescent="0.35">
      <c r="A352" s="1">
        <v>5</v>
      </c>
      <c r="B352" s="1" t="s">
        <v>685</v>
      </c>
      <c r="C352" s="1" t="s">
        <v>42</v>
      </c>
      <c r="D352" s="1">
        <v>2020</v>
      </c>
      <c r="E352" s="1" t="s">
        <v>686</v>
      </c>
      <c r="F352" s="1" t="s">
        <v>45</v>
      </c>
      <c r="G352" s="1" t="s">
        <v>64</v>
      </c>
      <c r="H352" s="1" t="b">
        <f>TRUE()</f>
        <v>1</v>
      </c>
      <c r="I352" s="17">
        <v>120</v>
      </c>
      <c r="J352" s="1" t="s">
        <v>447</v>
      </c>
      <c r="K352" s="1" t="s">
        <v>49</v>
      </c>
      <c r="L352" s="1" t="s">
        <v>121</v>
      </c>
      <c r="M352" s="18">
        <v>155000</v>
      </c>
      <c r="N352" s="18">
        <v>120000</v>
      </c>
      <c r="O352" s="18">
        <f t="shared" si="8"/>
        <v>0.77419354838709675</v>
      </c>
      <c r="P352" s="19">
        <f t="shared" si="9"/>
        <v>77.41935483870968</v>
      </c>
      <c r="Q352" s="1" t="s">
        <v>448</v>
      </c>
      <c r="R352" s="1" t="s">
        <v>688</v>
      </c>
    </row>
    <row r="353" spans="1:18" ht="14.5" x14ac:dyDescent="0.35">
      <c r="A353" s="1">
        <v>6</v>
      </c>
      <c r="B353" s="1" t="s">
        <v>689</v>
      </c>
      <c r="C353" s="1" t="s">
        <v>32</v>
      </c>
      <c r="D353" s="1">
        <v>2018</v>
      </c>
      <c r="E353" s="1" t="s">
        <v>690</v>
      </c>
      <c r="F353" s="1" t="s">
        <v>45</v>
      </c>
      <c r="G353" s="1" t="s">
        <v>71</v>
      </c>
      <c r="H353" s="1" t="b">
        <f>TRUE()</f>
        <v>1</v>
      </c>
      <c r="I353" s="17">
        <v>24</v>
      </c>
      <c r="J353" s="1" t="s">
        <v>419</v>
      </c>
      <c r="K353" s="1" t="s">
        <v>73</v>
      </c>
      <c r="L353" s="1" t="s">
        <v>29</v>
      </c>
      <c r="M353" s="18">
        <v>1</v>
      </c>
      <c r="N353" s="18">
        <v>1.08</v>
      </c>
      <c r="O353" s="18">
        <f t="shared" si="8"/>
        <v>1.08</v>
      </c>
      <c r="P353" s="19">
        <f t="shared" si="9"/>
        <v>108</v>
      </c>
      <c r="Q353" s="1" t="s">
        <v>420</v>
      </c>
      <c r="R353" s="1" t="s">
        <v>691</v>
      </c>
    </row>
    <row r="354" spans="1:18" ht="14.5" x14ac:dyDescent="0.35">
      <c r="A354" s="1">
        <v>6</v>
      </c>
      <c r="B354" s="1" t="s">
        <v>689</v>
      </c>
      <c r="C354" s="1" t="s">
        <v>32</v>
      </c>
      <c r="D354" s="1">
        <v>2018</v>
      </c>
      <c r="E354" s="1" t="s">
        <v>690</v>
      </c>
      <c r="F354" s="1" t="s">
        <v>45</v>
      </c>
      <c r="G354" s="1" t="s">
        <v>71</v>
      </c>
      <c r="H354" s="1" t="b">
        <f>TRUE()</f>
        <v>1</v>
      </c>
      <c r="I354" s="17">
        <v>72</v>
      </c>
      <c r="J354" s="1" t="s">
        <v>419</v>
      </c>
      <c r="K354" s="1" t="s">
        <v>73</v>
      </c>
      <c r="L354" s="1" t="s">
        <v>29</v>
      </c>
      <c r="M354" s="18">
        <v>1</v>
      </c>
      <c r="N354" s="18">
        <v>0.44</v>
      </c>
      <c r="O354" s="18">
        <f t="shared" si="8"/>
        <v>0.44</v>
      </c>
      <c r="P354" s="19">
        <f t="shared" si="9"/>
        <v>44</v>
      </c>
      <c r="Q354" s="1" t="s">
        <v>420</v>
      </c>
      <c r="R354" s="1" t="s">
        <v>691</v>
      </c>
    </row>
    <row r="355" spans="1:18" ht="14.5" x14ac:dyDescent="0.35">
      <c r="A355" s="1">
        <v>6</v>
      </c>
      <c r="B355" s="1" t="s">
        <v>689</v>
      </c>
      <c r="C355" s="1" t="s">
        <v>32</v>
      </c>
      <c r="D355" s="1">
        <v>2018</v>
      </c>
      <c r="E355" s="1" t="s">
        <v>690</v>
      </c>
      <c r="F355" s="1" t="s">
        <v>45</v>
      </c>
      <c r="G355" s="1" t="s">
        <v>71</v>
      </c>
      <c r="H355" s="1" t="b">
        <f>TRUE()</f>
        <v>1</v>
      </c>
      <c r="I355" s="17">
        <v>120</v>
      </c>
      <c r="J355" s="1" t="s">
        <v>419</v>
      </c>
      <c r="K355" s="1" t="s">
        <v>73</v>
      </c>
      <c r="L355" s="1" t="s">
        <v>29</v>
      </c>
      <c r="M355" s="18">
        <v>1</v>
      </c>
      <c r="N355" s="18">
        <v>0.85</v>
      </c>
      <c r="O355" s="18">
        <f t="shared" si="8"/>
        <v>0.85</v>
      </c>
      <c r="P355" s="19">
        <f t="shared" si="9"/>
        <v>85</v>
      </c>
      <c r="Q355" s="1" t="s">
        <v>420</v>
      </c>
      <c r="R355" s="1" t="s">
        <v>691</v>
      </c>
    </row>
    <row r="356" spans="1:18" ht="14.5" x14ac:dyDescent="0.35">
      <c r="A356" s="1">
        <v>6</v>
      </c>
      <c r="B356" s="1" t="s">
        <v>689</v>
      </c>
      <c r="C356" s="1" t="s">
        <v>32</v>
      </c>
      <c r="D356" s="1">
        <v>2018</v>
      </c>
      <c r="E356" s="1" t="s">
        <v>690</v>
      </c>
      <c r="F356" s="1" t="s">
        <v>45</v>
      </c>
      <c r="G356" s="1" t="s">
        <v>71</v>
      </c>
      <c r="H356" s="1" t="b">
        <f>TRUE()</f>
        <v>1</v>
      </c>
      <c r="I356" s="17">
        <v>24</v>
      </c>
      <c r="J356" s="1" t="s">
        <v>447</v>
      </c>
      <c r="K356" s="1" t="s">
        <v>73</v>
      </c>
      <c r="L356" s="1" t="s">
        <v>121</v>
      </c>
      <c r="M356" s="18">
        <v>55000</v>
      </c>
      <c r="N356" s="18">
        <v>82000</v>
      </c>
      <c r="O356" s="18">
        <f t="shared" si="8"/>
        <v>1.490909090909091</v>
      </c>
      <c r="P356" s="19">
        <f t="shared" si="9"/>
        <v>149.09090909090909</v>
      </c>
      <c r="Q356" s="1" t="s">
        <v>448</v>
      </c>
      <c r="R356" s="1" t="s">
        <v>692</v>
      </c>
    </row>
    <row r="357" spans="1:18" ht="14.5" x14ac:dyDescent="0.35">
      <c r="A357" s="1">
        <v>6</v>
      </c>
      <c r="B357" s="1" t="s">
        <v>689</v>
      </c>
      <c r="C357" s="1" t="s">
        <v>32</v>
      </c>
      <c r="D357" s="1">
        <v>2018</v>
      </c>
      <c r="E357" s="1" t="s">
        <v>690</v>
      </c>
      <c r="F357" s="1" t="s">
        <v>45</v>
      </c>
      <c r="G357" s="1" t="s">
        <v>71</v>
      </c>
      <c r="H357" s="1" t="b">
        <f>TRUE()</f>
        <v>1</v>
      </c>
      <c r="I357" s="17">
        <v>72</v>
      </c>
      <c r="J357" s="1" t="s">
        <v>447</v>
      </c>
      <c r="K357" s="1" t="s">
        <v>73</v>
      </c>
      <c r="L357" s="1" t="s">
        <v>121</v>
      </c>
      <c r="M357" s="18">
        <v>190000</v>
      </c>
      <c r="N357" s="18">
        <v>65000</v>
      </c>
      <c r="O357" s="18">
        <f t="shared" si="8"/>
        <v>0.34210526315789475</v>
      </c>
      <c r="P357" s="19">
        <f t="shared" si="9"/>
        <v>34.210526315789473</v>
      </c>
      <c r="Q357" s="1" t="s">
        <v>448</v>
      </c>
      <c r="R357" s="1" t="s">
        <v>692</v>
      </c>
    </row>
    <row r="358" spans="1:18" ht="14.5" x14ac:dyDescent="0.35">
      <c r="A358" s="1">
        <v>6</v>
      </c>
      <c r="B358" s="1" t="s">
        <v>689</v>
      </c>
      <c r="C358" s="1" t="s">
        <v>32</v>
      </c>
      <c r="D358" s="1">
        <v>2018</v>
      </c>
      <c r="E358" s="1" t="s">
        <v>690</v>
      </c>
      <c r="F358" s="1" t="s">
        <v>45</v>
      </c>
      <c r="G358" s="1" t="s">
        <v>71</v>
      </c>
      <c r="H358" s="1" t="b">
        <f>TRUE()</f>
        <v>1</v>
      </c>
      <c r="I358" s="17">
        <v>120</v>
      </c>
      <c r="J358" s="1" t="s">
        <v>447</v>
      </c>
      <c r="K358" s="1" t="s">
        <v>73</v>
      </c>
      <c r="L358" s="1" t="s">
        <v>121</v>
      </c>
      <c r="M358" s="18">
        <v>330000</v>
      </c>
      <c r="N358" s="18">
        <v>305000</v>
      </c>
      <c r="O358" s="18">
        <f t="shared" si="8"/>
        <v>0.9242424242424242</v>
      </c>
      <c r="P358" s="19">
        <f t="shared" si="9"/>
        <v>92.424242424242422</v>
      </c>
      <c r="Q358" s="1" t="s">
        <v>448</v>
      </c>
      <c r="R358" s="1" t="s">
        <v>692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23DA4-FBD7-4EC6-8489-C8A84889B60B}">
  <sheetPr>
    <tabColor rgb="FF1F4E78"/>
  </sheetPr>
  <dimension ref="A1:O36"/>
  <sheetViews>
    <sheetView showGridLines="0" tabSelected="1" workbookViewId="0">
      <pane ySplit="4" topLeftCell="A5" activePane="bottomLeft" state="frozen"/>
      <selection pane="bottomLeft" activeCell="E17" sqref="E17"/>
    </sheetView>
  </sheetViews>
  <sheetFormatPr defaultRowHeight="12.5" x14ac:dyDescent="0.25"/>
  <cols>
    <col min="1" max="1" width="17" style="22" customWidth="1"/>
    <col min="2" max="2" width="10" style="22" customWidth="1"/>
    <col min="3" max="3" width="20" style="22" customWidth="1"/>
    <col min="4" max="5" width="12" style="22" customWidth="1"/>
    <col min="6" max="6" width="22" style="22" customWidth="1"/>
    <col min="7" max="7" width="24" style="22" customWidth="1"/>
    <col min="8" max="8" width="12" style="22" customWidth="1"/>
    <col min="9" max="9" width="13" style="22" customWidth="1"/>
    <col min="10" max="10" width="20" style="22" customWidth="1"/>
    <col min="11" max="11" width="21" style="22" customWidth="1"/>
    <col min="12" max="12" width="17" style="22" customWidth="1"/>
    <col min="13" max="13" width="18" style="22" customWidth="1"/>
    <col min="14" max="14" width="19" style="22" customWidth="1"/>
    <col min="15" max="15" width="17" style="22" customWidth="1"/>
    <col min="16" max="16384" width="8.7265625" style="22"/>
  </cols>
  <sheetData>
    <row r="1" spans="1:15" ht="32" customHeight="1" x14ac:dyDescent="0.4">
      <c r="A1" s="35" t="s">
        <v>770</v>
      </c>
      <c r="B1" s="33"/>
      <c r="C1" s="33"/>
      <c r="D1" s="33"/>
      <c r="E1" s="33"/>
      <c r="F1" s="33"/>
      <c r="G1" s="33"/>
      <c r="H1" s="33"/>
      <c r="I1" s="33"/>
      <c r="J1" s="33"/>
      <c r="K1" s="33"/>
      <c r="L1" s="33"/>
      <c r="M1" s="33"/>
      <c r="N1" s="33"/>
      <c r="O1" s="33"/>
    </row>
    <row r="2" spans="1:15" ht="28" customHeight="1" x14ac:dyDescent="0.3">
      <c r="A2" s="34" t="s">
        <v>769</v>
      </c>
      <c r="B2" s="33"/>
      <c r="C2" s="33"/>
      <c r="D2" s="33"/>
      <c r="E2" s="33"/>
      <c r="F2" s="33"/>
      <c r="G2" s="33"/>
      <c r="H2" s="33"/>
      <c r="I2" s="33"/>
      <c r="J2" s="33"/>
      <c r="K2" s="33"/>
      <c r="L2" s="33"/>
      <c r="M2" s="33"/>
      <c r="N2" s="33"/>
      <c r="O2" s="33"/>
    </row>
    <row r="3" spans="1:15" x14ac:dyDescent="0.25">
      <c r="A3" s="27"/>
      <c r="B3" s="27"/>
      <c r="C3" s="27"/>
      <c r="D3" s="27"/>
      <c r="E3" s="27"/>
      <c r="F3" s="27"/>
      <c r="G3" s="27"/>
      <c r="H3" s="27"/>
      <c r="I3" s="27"/>
      <c r="J3" s="27"/>
      <c r="K3" s="27"/>
      <c r="L3" s="27"/>
      <c r="M3" s="27"/>
      <c r="N3" s="27"/>
      <c r="O3" s="27"/>
    </row>
    <row r="4" spans="1:15" ht="39" customHeight="1" x14ac:dyDescent="0.3">
      <c r="A4" s="32" t="s">
        <v>768</v>
      </c>
      <c r="B4" s="32" t="s">
        <v>767</v>
      </c>
      <c r="C4" s="32" t="s">
        <v>408</v>
      </c>
      <c r="D4" s="32" t="s">
        <v>7</v>
      </c>
      <c r="E4" s="32" t="s">
        <v>766</v>
      </c>
      <c r="F4" s="32" t="s">
        <v>765</v>
      </c>
      <c r="G4" s="32" t="s">
        <v>764</v>
      </c>
      <c r="H4" s="32" t="s">
        <v>763</v>
      </c>
      <c r="I4" s="32" t="s">
        <v>762</v>
      </c>
      <c r="J4" s="32" t="s">
        <v>761</v>
      </c>
      <c r="K4" s="32" t="s">
        <v>760</v>
      </c>
      <c r="L4" s="32" t="s">
        <v>759</v>
      </c>
      <c r="M4" s="32" t="s">
        <v>758</v>
      </c>
      <c r="N4" s="32" t="s">
        <v>757</v>
      </c>
      <c r="O4" s="32" t="s">
        <v>756</v>
      </c>
    </row>
    <row r="5" spans="1:15" ht="25" customHeight="1" x14ac:dyDescent="0.25">
      <c r="A5" s="27" t="s">
        <v>755</v>
      </c>
      <c r="B5" s="27" t="s">
        <v>754</v>
      </c>
      <c r="C5" s="27" t="s">
        <v>735</v>
      </c>
      <c r="D5" s="27" t="s">
        <v>460</v>
      </c>
      <c r="E5" s="27">
        <v>1</v>
      </c>
      <c r="F5" s="27" t="s">
        <v>753</v>
      </c>
      <c r="G5" s="27" t="s">
        <v>752</v>
      </c>
      <c r="H5" s="27">
        <v>4</v>
      </c>
      <c r="I5" s="27">
        <v>4</v>
      </c>
      <c r="J5" s="26">
        <f>AVERAGE('[1]Author replicate data'!K5:K8)</f>
        <v>1.01384875</v>
      </c>
      <c r="K5" s="26">
        <f>AVERAGE('[1]Author replicate data'!K9:K12)</f>
        <v>0.37109049999999999</v>
      </c>
      <c r="L5" s="25">
        <f>K5/J5</f>
        <v>0.36602155893568938</v>
      </c>
      <c r="M5" s="24">
        <f>[1]Quant_Timepoint_Data!M89</f>
        <v>1</v>
      </c>
      <c r="N5" s="24">
        <f>[1]Quant_Timepoint_Data!N89</f>
        <v>0.37</v>
      </c>
      <c r="O5" s="23">
        <f>[1]Quant_Timepoint_Data!O89</f>
        <v>0.37</v>
      </c>
    </row>
    <row r="6" spans="1:15" ht="25" customHeight="1" x14ac:dyDescent="0.25">
      <c r="A6" s="27" t="s">
        <v>755</v>
      </c>
      <c r="B6" s="27" t="s">
        <v>754</v>
      </c>
      <c r="C6" s="27" t="s">
        <v>735</v>
      </c>
      <c r="D6" s="27" t="s">
        <v>460</v>
      </c>
      <c r="E6" s="27">
        <v>3</v>
      </c>
      <c r="F6" s="27" t="s">
        <v>753</v>
      </c>
      <c r="G6" s="27" t="s">
        <v>752</v>
      </c>
      <c r="H6" s="27">
        <v>4</v>
      </c>
      <c r="I6" s="27">
        <v>4</v>
      </c>
      <c r="J6" s="26">
        <f>AVERAGE('[1]Author replicate data'!K13:K16)</f>
        <v>1.00049225</v>
      </c>
      <c r="K6" s="26">
        <f>AVERAGE('[1]Author replicate data'!K17:K20)</f>
        <v>0.53244675000000008</v>
      </c>
      <c r="L6" s="25">
        <f>K6/J6</f>
        <v>0.53218478204104036</v>
      </c>
      <c r="M6" s="24">
        <f>[1]Quant_Timepoint_Data!M90</f>
        <v>1</v>
      </c>
      <c r="N6" s="24">
        <f>[1]Quant_Timepoint_Data!N90</f>
        <v>0.53</v>
      </c>
      <c r="O6" s="23">
        <f>[1]Quant_Timepoint_Data!O90</f>
        <v>0.53</v>
      </c>
    </row>
    <row r="7" spans="1:15" ht="25" customHeight="1" x14ac:dyDescent="0.25">
      <c r="A7" s="27" t="s">
        <v>755</v>
      </c>
      <c r="B7" s="27" t="s">
        <v>754</v>
      </c>
      <c r="C7" s="27" t="s">
        <v>735</v>
      </c>
      <c r="D7" s="27" t="s">
        <v>460</v>
      </c>
      <c r="E7" s="27">
        <v>5</v>
      </c>
      <c r="F7" s="27" t="s">
        <v>753</v>
      </c>
      <c r="G7" s="27" t="s">
        <v>752</v>
      </c>
      <c r="H7" s="27">
        <v>4</v>
      </c>
      <c r="I7" s="27">
        <v>4</v>
      </c>
      <c r="J7" s="26">
        <f>AVERAGE('[1]Author replicate data'!K21:K24)</f>
        <v>1.0048675</v>
      </c>
      <c r="K7" s="26">
        <f>AVERAGE('[1]Author replicate data'!K25:K28)</f>
        <v>0.67221999999999993</v>
      </c>
      <c r="L7" s="25">
        <f>K7/J7</f>
        <v>0.66896381861290166</v>
      </c>
      <c r="M7" s="24">
        <f>[1]Quant_Timepoint_Data!M91</f>
        <v>1</v>
      </c>
      <c r="N7" s="24">
        <f>[1]Quant_Timepoint_Data!N91</f>
        <v>0.67</v>
      </c>
      <c r="O7" s="23">
        <f>[1]Quant_Timepoint_Data!O91</f>
        <v>0.67</v>
      </c>
    </row>
    <row r="8" spans="1:15" ht="25" customHeight="1" x14ac:dyDescent="0.25">
      <c r="A8" s="27" t="s">
        <v>741</v>
      </c>
      <c r="B8" s="27" t="s">
        <v>751</v>
      </c>
      <c r="C8" s="27" t="s">
        <v>735</v>
      </c>
      <c r="D8" s="27" t="s">
        <v>571</v>
      </c>
      <c r="E8" s="27"/>
      <c r="F8" s="27" t="s">
        <v>739</v>
      </c>
      <c r="G8" s="27" t="s">
        <v>750</v>
      </c>
      <c r="H8" s="27">
        <v>5</v>
      </c>
      <c r="I8" s="27">
        <v>5</v>
      </c>
      <c r="J8" s="26">
        <f>AVERAGE('[1]Author replicate data'!K29:K33)</f>
        <v>1.0148257060000003</v>
      </c>
      <c r="K8" s="26">
        <f>AVERAGE('[1]Author replicate data'!K34:K38)</f>
        <v>0.50710282400000006</v>
      </c>
      <c r="L8" s="25">
        <f>K8/J8</f>
        <v>0.49969450024948414</v>
      </c>
      <c r="M8" s="24">
        <f>[1]Quant_Timepoint_Data!M230</f>
        <v>1</v>
      </c>
      <c r="N8" s="24">
        <f>[1]Quant_Timepoint_Data!N230</f>
        <v>0.5</v>
      </c>
      <c r="O8" s="23">
        <f>[1]Quant_Timepoint_Data!O230</f>
        <v>0.5</v>
      </c>
    </row>
    <row r="9" spans="1:15" ht="25" customHeight="1" x14ac:dyDescent="0.25">
      <c r="A9" s="27" t="s">
        <v>741</v>
      </c>
      <c r="B9" s="27" t="s">
        <v>749</v>
      </c>
      <c r="C9" s="27" t="s">
        <v>735</v>
      </c>
      <c r="D9" s="27" t="s">
        <v>572</v>
      </c>
      <c r="E9" s="27"/>
      <c r="F9" s="27" t="s">
        <v>739</v>
      </c>
      <c r="G9" s="27" t="s">
        <v>748</v>
      </c>
      <c r="H9" s="27">
        <v>5</v>
      </c>
      <c r="I9" s="27">
        <v>5</v>
      </c>
      <c r="J9" s="26">
        <f>AVERAGE('[1]Author replicate data'!K39:K43)</f>
        <v>1.0294696179999998</v>
      </c>
      <c r="K9" s="26">
        <f>AVERAGE('[1]Author replicate data'!K44:K48)</f>
        <v>0.49958456999999995</v>
      </c>
      <c r="L9" s="25">
        <f>K9/J9</f>
        <v>0.48528345204646928</v>
      </c>
      <c r="M9" s="24">
        <f>[1]Quant_Timepoint_Data!M231</f>
        <v>1</v>
      </c>
      <c r="N9" s="24">
        <f>[1]Quant_Timepoint_Data!N231</f>
        <v>0.47</v>
      </c>
      <c r="O9" s="23">
        <f>[1]Quant_Timepoint_Data!O231</f>
        <v>0.47</v>
      </c>
    </row>
    <row r="10" spans="1:15" ht="25" customHeight="1" x14ac:dyDescent="0.25">
      <c r="A10" s="27" t="s">
        <v>741</v>
      </c>
      <c r="B10" s="27" t="s">
        <v>747</v>
      </c>
      <c r="C10" s="27" t="s">
        <v>735</v>
      </c>
      <c r="D10" s="27" t="s">
        <v>568</v>
      </c>
      <c r="E10" s="27"/>
      <c r="F10" s="27" t="s">
        <v>739</v>
      </c>
      <c r="G10" s="27" t="s">
        <v>746</v>
      </c>
      <c r="H10" s="27">
        <v>5</v>
      </c>
      <c r="I10" s="27">
        <v>5</v>
      </c>
      <c r="J10" s="26">
        <f>AVERAGE('[1]Author replicate data'!K49:K53)</f>
        <v>1.0157329220000002</v>
      </c>
      <c r="K10" s="26">
        <f>AVERAGE('[1]Author replicate data'!K54:K58)</f>
        <v>0.13270457399999999</v>
      </c>
      <c r="L10" s="25">
        <f>K10/J10</f>
        <v>0.13064908218067975</v>
      </c>
      <c r="M10" s="24">
        <f>[1]Quant_Timepoint_Data!M232</f>
        <v>0.95</v>
      </c>
      <c r="N10" s="24">
        <f>[1]Quant_Timepoint_Data!N232</f>
        <v>0.12</v>
      </c>
      <c r="O10" s="23">
        <f>[1]Quant_Timepoint_Data!O232</f>
        <v>0.12631578947368421</v>
      </c>
    </row>
    <row r="11" spans="1:15" ht="25" customHeight="1" x14ac:dyDescent="0.25">
      <c r="A11" s="27" t="s">
        <v>741</v>
      </c>
      <c r="B11" s="27" t="s">
        <v>745</v>
      </c>
      <c r="C11" s="27" t="s">
        <v>735</v>
      </c>
      <c r="D11" s="27" t="s">
        <v>570</v>
      </c>
      <c r="E11" s="27"/>
      <c r="F11" s="27" t="s">
        <v>739</v>
      </c>
      <c r="G11" s="27" t="s">
        <v>744</v>
      </c>
      <c r="H11" s="27">
        <v>5</v>
      </c>
      <c r="I11" s="27">
        <v>5</v>
      </c>
      <c r="J11" s="26">
        <f>AVERAGE('[1]Author replicate data'!K59:K63)</f>
        <v>1.1043066720000001</v>
      </c>
      <c r="K11" s="26">
        <f>AVERAGE('[1]Author replicate data'!K64:K68)</f>
        <v>0.20736541799999997</v>
      </c>
      <c r="L11" s="25">
        <f>K11/J11</f>
        <v>0.18777883287116456</v>
      </c>
      <c r="M11" s="24">
        <f>[1]Quant_Timepoint_Data!M233</f>
        <v>1.08</v>
      </c>
      <c r="N11" s="24">
        <f>[1]Quant_Timepoint_Data!N233</f>
        <v>0.16</v>
      </c>
      <c r="O11" s="23">
        <f>[1]Quant_Timepoint_Data!O233</f>
        <v>0.14814814814814814</v>
      </c>
    </row>
    <row r="12" spans="1:15" ht="25" customHeight="1" x14ac:dyDescent="0.25">
      <c r="A12" s="27" t="s">
        <v>741</v>
      </c>
      <c r="B12" s="27" t="s">
        <v>743</v>
      </c>
      <c r="C12" s="27" t="s">
        <v>735</v>
      </c>
      <c r="D12" s="27" t="s">
        <v>573</v>
      </c>
      <c r="E12" s="27"/>
      <c r="F12" s="27" t="s">
        <v>739</v>
      </c>
      <c r="G12" s="27" t="s">
        <v>742</v>
      </c>
      <c r="H12" s="27">
        <v>5</v>
      </c>
      <c r="I12" s="27">
        <v>5</v>
      </c>
      <c r="J12" s="26">
        <f>AVERAGE('[1]Author replicate data'!K69:K73)</f>
        <v>1.008520672</v>
      </c>
      <c r="K12" s="26">
        <f>AVERAGE('[1]Author replicate data'!K74:K78)</f>
        <v>0.31126580999999998</v>
      </c>
      <c r="L12" s="25">
        <f>K12/J12</f>
        <v>0.30863602367488208</v>
      </c>
      <c r="M12" s="24">
        <f>[1]Quant_Timepoint_Data!M234</f>
        <v>1</v>
      </c>
      <c r="N12" s="24">
        <f>[1]Quant_Timepoint_Data!N234</f>
        <v>0.26</v>
      </c>
      <c r="O12" s="23">
        <f>[1]Quant_Timepoint_Data!O234</f>
        <v>0.26</v>
      </c>
    </row>
    <row r="13" spans="1:15" ht="25" customHeight="1" x14ac:dyDescent="0.25">
      <c r="A13" s="27" t="s">
        <v>741</v>
      </c>
      <c r="B13" s="27" t="s">
        <v>740</v>
      </c>
      <c r="C13" s="27" t="s">
        <v>735</v>
      </c>
      <c r="D13" s="27" t="s">
        <v>574</v>
      </c>
      <c r="E13" s="27"/>
      <c r="F13" s="27" t="s">
        <v>739</v>
      </c>
      <c r="G13" s="27" t="s">
        <v>738</v>
      </c>
      <c r="H13" s="27">
        <v>5</v>
      </c>
      <c r="I13" s="27">
        <v>5</v>
      </c>
      <c r="J13" s="26">
        <f>AVERAGE('[1]Author replicate data'!K79:K83)</f>
        <v>1.0493742500000001</v>
      </c>
      <c r="K13" s="26">
        <f>AVERAGE('[1]Author replicate data'!K84:K88)</f>
        <v>0.377327046</v>
      </c>
      <c r="L13" s="25">
        <f>K13/J13</f>
        <v>0.35957338004053363</v>
      </c>
      <c r="M13" s="24">
        <f>[1]Quant_Timepoint_Data!M235</f>
        <v>1</v>
      </c>
      <c r="N13" s="24">
        <f>[1]Quant_Timepoint_Data!N235</f>
        <v>0.36</v>
      </c>
      <c r="O13" s="23">
        <f>[1]Quant_Timepoint_Data!O235</f>
        <v>0.36</v>
      </c>
    </row>
    <row r="14" spans="1:15" ht="27" customHeight="1" x14ac:dyDescent="0.25">
      <c r="A14" s="22" t="s">
        <v>737</v>
      </c>
      <c r="B14" s="22" t="s">
        <v>736</v>
      </c>
      <c r="C14" s="22" t="s">
        <v>735</v>
      </c>
      <c r="D14" s="22" t="s">
        <v>91</v>
      </c>
      <c r="F14" s="22" t="s">
        <v>734</v>
      </c>
      <c r="G14" s="22" t="s">
        <v>733</v>
      </c>
      <c r="H14" s="22">
        <v>3</v>
      </c>
      <c r="I14" s="22">
        <v>3</v>
      </c>
      <c r="J14" s="31">
        <f>'[1]Chen 2017 qPCR'!Q6</f>
        <v>1</v>
      </c>
      <c r="K14" s="31">
        <f>'[1]Chen 2017 qPCR'!Q5</f>
        <v>3.8314176245210725E-2</v>
      </c>
      <c r="L14" s="30">
        <f>K14/J14</f>
        <v>3.8314176245210725E-2</v>
      </c>
      <c r="M14" s="29"/>
      <c r="N14" s="29"/>
      <c r="O14" s="28">
        <f>[1]Quant_Timepoint_Data!O322</f>
        <v>0.04</v>
      </c>
    </row>
    <row r="15" spans="1:15" ht="27" customHeight="1" x14ac:dyDescent="0.25">
      <c r="A15" s="27" t="s">
        <v>732</v>
      </c>
      <c r="B15" s="27" t="s">
        <v>731</v>
      </c>
      <c r="C15" s="27" t="s">
        <v>730</v>
      </c>
      <c r="D15" s="27" t="s">
        <v>175</v>
      </c>
      <c r="E15" s="27"/>
      <c r="F15" s="27" t="s">
        <v>729</v>
      </c>
      <c r="G15" s="27" t="s">
        <v>728</v>
      </c>
      <c r="H15" s="27">
        <v>18</v>
      </c>
      <c r="I15" s="27">
        <v>16</v>
      </c>
      <c r="J15" s="26">
        <f>POWER(2,MEDIAN('[1]Author replicate data'!K285:K302))</f>
        <v>44762.40713332803</v>
      </c>
      <c r="K15" s="26">
        <f>POWER(2,MEDIAN('[1]Author replicate data'!K269:K284))</f>
        <v>20171.070068243116</v>
      </c>
      <c r="L15" s="25">
        <f>K15/J15</f>
        <v>0.45062523130541532</v>
      </c>
      <c r="M15" s="24">
        <f>[1]Quant_Timepoint_Data!M248</f>
        <v>45000</v>
      </c>
      <c r="N15" s="24">
        <f>[1]Quant_Timepoint_Data!N248</f>
        <v>20000</v>
      </c>
      <c r="O15" s="23">
        <f>[1]Quant_Timepoint_Data!O248</f>
        <v>0.44444444444444442</v>
      </c>
    </row>
    <row r="16" spans="1:15" ht="25" customHeight="1" x14ac:dyDescent="0.25"/>
    <row r="17" ht="29" customHeight="1" x14ac:dyDescent="0.25"/>
    <row r="18" ht="27" customHeight="1" x14ac:dyDescent="0.25"/>
    <row r="19" ht="27" customHeight="1" x14ac:dyDescent="0.25"/>
    <row r="20" ht="25" customHeight="1" x14ac:dyDescent="0.25"/>
    <row r="21" ht="25" customHeight="1" x14ac:dyDescent="0.25"/>
    <row r="22" ht="25" customHeight="1" x14ac:dyDescent="0.25"/>
    <row r="23" ht="25" customHeight="1" x14ac:dyDescent="0.25"/>
    <row r="24" ht="25" customHeight="1" x14ac:dyDescent="0.25"/>
    <row r="25" ht="25" customHeight="1" x14ac:dyDescent="0.25"/>
    <row r="26" ht="27" customHeight="1" x14ac:dyDescent="0.25"/>
    <row r="28" ht="28" customHeight="1" x14ac:dyDescent="0.25"/>
    <row r="29" ht="27" customHeight="1" x14ac:dyDescent="0.25"/>
    <row r="30" ht="27" customHeight="1" x14ac:dyDescent="0.25"/>
    <row r="31" ht="27" customHeight="1" x14ac:dyDescent="0.25"/>
    <row r="32" ht="27" customHeight="1" x14ac:dyDescent="0.25"/>
    <row r="35" ht="25" customHeight="1" x14ac:dyDescent="0.25"/>
    <row r="36" ht="25" customHeight="1" x14ac:dyDescent="0.25"/>
  </sheetData>
  <mergeCells count="2">
    <mergeCell ref="A1:O1"/>
    <mergeCell ref="A2:O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Master_Bibliography</vt:lpstr>
      <vt:lpstr>Categories of RNAi targets</vt:lpstr>
      <vt:lpstr>Quant_Timepoint_Data</vt:lpstr>
      <vt:lpstr>Author data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Reinke</cp:lastModifiedBy>
  <dcterms:created xsi:type="dcterms:W3CDTF">2026-06-22T16:19:57Z</dcterms:created>
  <dcterms:modified xsi:type="dcterms:W3CDTF">2026-09-28T20:50:27Z</dcterms:modified>
</cp:coreProperties>
</file>